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452" yWindow="-108" windowWidth="23256" windowHeight="12456" tabRatio="600" firstSheet="0" activeTab="0" autoFilterDateGrouping="1"/>
  </bookViews>
  <sheets>
    <sheet name="사내부품(PRT)-001" sheetId="1" state="visible" r:id="rId1"/>
  </sheets>
  <definedNames>
    <definedName name="_xlnm.Print_Area" localSheetId="0">'사내부품(PRT)-001'!$A$1:$M$57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&quot;0&quot;@"/>
    <numFmt numFmtId="165" formatCode="yyyy/mm"/>
    <numFmt numFmtId="166" formatCode="General\ &quot;EA&quot;"/>
    <numFmt numFmtId="167" formatCode="&quot;○&quot;"/>
    <numFmt numFmtId="168" formatCode="mm&quot;/&quot;dd"/>
    <numFmt numFmtId="169" formatCode="General\ &quot;BOX&quot;"/>
    <numFmt numFmtId="170" formatCode="&quot;Page No.&quot;General"/>
    <numFmt numFmtId="171" formatCode="&quot;HP-G-품질-00&quot;General"/>
  </numFmts>
  <fonts count="2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HY신명조"/>
      <charset val="129"/>
      <family val="1"/>
      <color theme="1"/>
      <sz val="11"/>
    </font>
    <font>
      <name val="맑은 고딕"/>
      <charset val="129"/>
      <family val="3"/>
      <b val="1"/>
      <color theme="1"/>
      <sz val="12"/>
      <scheme val="minor"/>
    </font>
    <font>
      <name val="HY신명조"/>
      <charset val="129"/>
      <family val="1"/>
      <b val="1"/>
      <color theme="1"/>
      <sz val="11"/>
    </font>
    <font>
      <name val="HY신명조"/>
      <charset val="129"/>
      <family val="1"/>
      <b val="1"/>
      <color theme="1"/>
      <sz val="18"/>
    </font>
    <font>
      <name val="HY신명조"/>
      <charset val="129"/>
      <family val="1"/>
      <b val="1"/>
      <color theme="1"/>
      <sz val="10"/>
    </font>
    <font>
      <name val="HY신명조"/>
      <charset val="129"/>
      <family val="1"/>
      <b val="1"/>
      <color theme="1"/>
      <sz val="25"/>
    </font>
    <font>
      <name val="HY신명조"/>
      <charset val="129"/>
      <family val="1"/>
      <b val="1"/>
      <color theme="1"/>
      <sz val="12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1" tint="0.499984740745262"/>
      <sz val="10"/>
      <scheme val="minor"/>
    </font>
    <font>
      <name val="맑은 고딕"/>
      <charset val="129"/>
      <family val="3"/>
      <b val="1"/>
      <color theme="1" tint="0.499984740745262"/>
      <sz val="9"/>
      <scheme val="minor"/>
    </font>
    <font>
      <name val="HY신명조"/>
      <charset val="129"/>
      <family val="1"/>
      <b val="1"/>
      <color theme="1"/>
      <sz val="9"/>
    </font>
    <font>
      <name val="맑은 고딕"/>
      <charset val="129"/>
      <family val="3"/>
      <b val="1"/>
      <color theme="1" tint="0.499984740745262"/>
      <sz val="11"/>
      <scheme val="minor"/>
    </font>
    <font>
      <name val="HY신명조"/>
      <charset val="129"/>
      <family val="1"/>
      <color theme="1" tint="0.0499893185216834"/>
      <sz val="11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strike val="1"/>
      <color rgb="FFFF0000"/>
      <sz val="11"/>
      <scheme val="minor"/>
    </font>
    <font>
      <name val="맑은 고딕"/>
      <charset val="129"/>
      <family val="3"/>
      <color theme="1" tint="0.0499893185216834"/>
      <sz val="11"/>
      <scheme val="minor"/>
    </font>
    <font>
      <name val="맑은 고딕"/>
      <charset val="129"/>
      <family val="3"/>
      <color theme="1" tint="0.0499893185216834"/>
      <sz val="10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55">
    <xf numFmtId="0" fontId="0" fillId="0" borderId="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25" applyAlignment="1" pivotButton="0" quotePrefix="0" xfId="0">
      <alignment vertical="top"/>
    </xf>
    <xf numFmtId="0" fontId="0" fillId="0" borderId="25" applyAlignment="1" pivotButton="0" quotePrefix="0" xfId="0">
      <alignment horizontal="right" vertical="top"/>
    </xf>
    <xf numFmtId="165" fontId="0" fillId="0" borderId="25" applyAlignment="1" pivotButton="0" quotePrefix="0" xfId="0">
      <alignment horizontal="right" vertical="center"/>
    </xf>
    <xf numFmtId="165" fontId="0" fillId="0" borderId="25" applyAlignment="1" pivotButton="0" quotePrefix="0" xfId="0">
      <alignment vertical="center"/>
    </xf>
    <xf numFmtId="0" fontId="12" fillId="0" borderId="23" applyAlignment="1" pivotButton="0" quotePrefix="0" xfId="0">
      <alignment horizontal="center" vertical="top" wrapText="1"/>
    </xf>
    <xf numFmtId="0" fontId="11" fillId="0" borderId="23" applyAlignment="1" pivotButton="0" quotePrefix="0" xfId="0">
      <alignment horizontal="center" vertical="top"/>
    </xf>
    <xf numFmtId="166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169" fontId="0" fillId="0" borderId="3" applyAlignment="1" pivotButton="0" quotePrefix="0" xfId="0">
      <alignment vertical="center"/>
    </xf>
    <xf numFmtId="164" fontId="0" fillId="3" borderId="3" applyAlignment="1" pivotButton="0" quotePrefix="0" xfId="0">
      <alignment horizontal="center" vertical="center"/>
    </xf>
    <xf numFmtId="166" fontId="0" fillId="3" borderId="3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167" fontId="0" fillId="3" borderId="3" applyAlignment="1" pivotButton="0" quotePrefix="0" xfId="0">
      <alignment horizontal="center" vertical="center"/>
    </xf>
    <xf numFmtId="166" fontId="17" fillId="0" borderId="1" applyAlignment="1" pivotButton="0" quotePrefix="0" xfId="0">
      <alignment vertical="center"/>
    </xf>
    <xf numFmtId="167" fontId="17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164" fontId="0" fillId="2" borderId="3" applyAlignment="1" pivotButton="0" quotePrefix="0" xfId="0">
      <alignment horizontal="center" vertical="center"/>
    </xf>
    <xf numFmtId="166" fontId="0" fillId="2" borderId="3" applyAlignment="1" pivotButton="0" quotePrefix="0" xfId="0">
      <alignment vertical="center"/>
    </xf>
    <xf numFmtId="166" fontId="0" fillId="4" borderId="3" applyAlignment="1" pivotButton="0" quotePrefix="0" xfId="0">
      <alignment vertical="center"/>
    </xf>
    <xf numFmtId="166" fontId="0" fillId="5" borderId="3" applyAlignment="1" pivotButton="0" quotePrefix="0" xfId="0">
      <alignment vertical="center"/>
    </xf>
    <xf numFmtId="167" fontId="0" fillId="5" borderId="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top"/>
    </xf>
    <xf numFmtId="0" fontId="11" fillId="0" borderId="22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0" fillId="0" borderId="19" applyAlignment="1" pivotButton="0" quotePrefix="0" xfId="0">
      <alignment vertical="center"/>
    </xf>
    <xf numFmtId="0" fontId="21" fillId="0" borderId="2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71" fontId="13" fillId="0" borderId="1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6" fillId="0" borderId="19" applyAlignment="1" pivotButton="0" quotePrefix="0" xfId="0">
      <alignment horizontal="left" vertical="center"/>
    </xf>
    <xf numFmtId="0" fontId="16" fillId="0" borderId="20" applyAlignment="1" pivotButton="0" quotePrefix="0" xfId="0">
      <alignment horizontal="left" vertical="center"/>
    </xf>
    <xf numFmtId="0" fontId="0" fillId="3" borderId="3" applyAlignment="1" pivotButton="0" quotePrefix="0" xfId="0">
      <alignment horizontal="center" vertical="center"/>
    </xf>
    <xf numFmtId="0" fontId="16" fillId="3" borderId="1" applyAlignment="1" pivotButton="0" quotePrefix="0" xfId="0">
      <alignment vertical="center"/>
    </xf>
    <xf numFmtId="0" fontId="20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170" fontId="4" fillId="0" borderId="19" applyAlignment="1" pivotButton="0" quotePrefix="0" xfId="0">
      <alignment horizontal="center" vertical="center"/>
    </xf>
    <xf numFmtId="170" fontId="4" fillId="0" borderId="2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4" fontId="13" fillId="0" borderId="19" applyAlignment="1" pivotButton="0" quotePrefix="0" xfId="0">
      <alignment horizontal="center" vertical="center"/>
    </xf>
    <xf numFmtId="14" fontId="13" fillId="0" borderId="20" applyAlignment="1" pivotButton="0" quotePrefix="0" xfId="0">
      <alignment horizontal="center" vertical="center"/>
    </xf>
    <xf numFmtId="14" fontId="6" fillId="0" borderId="19" applyAlignment="1" pivotButton="0" quotePrefix="0" xfId="0">
      <alignment horizontal="center" vertical="center"/>
    </xf>
    <xf numFmtId="14" fontId="6" fillId="0" borderId="20" applyAlignment="1" pivotButton="0" quotePrefix="0" xfId="0">
      <alignment horizontal="center" vertical="center"/>
    </xf>
    <xf numFmtId="171" fontId="13" fillId="0" borderId="19" applyAlignment="1" pivotButton="0" quotePrefix="0" xfId="0">
      <alignment horizontal="center" vertical="center"/>
    </xf>
    <xf numFmtId="171" fontId="13" fillId="0" borderId="2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170" fontId="4" fillId="0" borderId="1" applyAlignment="1" pivotButton="0" quotePrefix="0" xfId="0">
      <alignment horizontal="center" vertical="center"/>
    </xf>
    <xf numFmtId="0" fontId="0" fillId="0" borderId="20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3" pivotButton="0" quotePrefix="0" xfId="0"/>
    <xf numFmtId="171" fontId="13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3" pivotButton="0" quotePrefix="0" xfId="0"/>
    <xf numFmtId="168" fontId="15" fillId="0" borderId="1" applyAlignment="1" pivotButton="0" quotePrefix="0" xfId="0">
      <alignment horizontal="center" vertical="top"/>
    </xf>
    <xf numFmtId="0" fontId="4" fillId="2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8" fillId="0" borderId="28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8" pivotButton="0" quotePrefix="0" xfId="0"/>
    <xf numFmtId="165" fontId="0" fillId="0" borderId="25" applyAlignment="1" pivotButton="0" quotePrefix="0" xfId="0">
      <alignment horizontal="right" vertical="center"/>
    </xf>
    <xf numFmtId="165" fontId="0" fillId="0" borderId="25" applyAlignment="1" pivotButton="0" quotePrefix="0" xfId="0">
      <alignment vertical="center"/>
    </xf>
    <xf numFmtId="0" fontId="0" fillId="0" borderId="22" pivotButton="0" quotePrefix="0" xfId="0"/>
    <xf numFmtId="164" fontId="0" fillId="0" borderId="3" applyAlignment="1" pivotButton="0" quotePrefix="0" xfId="0">
      <alignment horizontal="center" vertical="center"/>
    </xf>
    <xf numFmtId="169" fontId="0" fillId="0" borderId="3" applyAlignment="1" pivotButton="0" quotePrefix="0" xfId="0">
      <alignment vertical="center"/>
    </xf>
    <xf numFmtId="166" fontId="0" fillId="0" borderId="3" applyAlignment="1" pivotButton="0" quotePrefix="0" xfId="0">
      <alignment vertical="center"/>
    </xf>
    <xf numFmtId="167" fontId="0" fillId="0" borderId="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vertical="center"/>
    </xf>
    <xf numFmtId="166" fontId="17" fillId="0" borderId="1" applyAlignment="1" pivotButton="0" quotePrefix="0" xfId="0">
      <alignment vertical="center"/>
    </xf>
    <xf numFmtId="167" fontId="17" fillId="0" borderId="1" applyAlignment="1" pivotButton="0" quotePrefix="0" xfId="0">
      <alignment horizontal="center" vertical="center"/>
    </xf>
    <xf numFmtId="164" fontId="0" fillId="2" borderId="3" applyAlignment="1" pivotButton="0" quotePrefix="0" xfId="0">
      <alignment horizontal="center" vertical="center"/>
    </xf>
    <xf numFmtId="166" fontId="0" fillId="2" borderId="3" applyAlignment="1" pivotButton="0" quotePrefix="0" xfId="0">
      <alignment vertical="center"/>
    </xf>
    <xf numFmtId="166" fontId="0" fillId="5" borderId="3" applyAlignment="1" pivotButton="0" quotePrefix="0" xfId="0">
      <alignment vertical="center"/>
    </xf>
    <xf numFmtId="167" fontId="0" fillId="5" borderId="3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6" fontId="0" fillId="4" borderId="3" applyAlignment="1" pivotButton="0" quotePrefix="0" xfId="0">
      <alignment vertical="center"/>
    </xf>
    <xf numFmtId="0" fontId="16" fillId="0" borderId="1" applyAlignment="1" pivotButton="0" quotePrefix="0" xfId="0">
      <alignment horizontal="left" vertical="center"/>
    </xf>
    <xf numFmtId="164" fontId="0" fillId="3" borderId="3" applyAlignment="1" pivotButton="0" quotePrefix="0" xfId="0">
      <alignment horizontal="center" vertical="center"/>
    </xf>
    <xf numFmtId="166" fontId="0" fillId="3" borderId="3" applyAlignment="1" pivotButton="0" quotePrefix="0" xfId="0">
      <alignment vertical="center"/>
    </xf>
    <xf numFmtId="167" fontId="0" fillId="3" borderId="3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14"/>
  <sheetViews>
    <sheetView tabSelected="1" showWhiteSpace="0" view="pageLayout" topLeftCell="A97" zoomScaleNormal="100" zoomScaleSheetLayoutView="100" workbookViewId="0">
      <selection activeCell="A60" sqref="A60:L114"/>
    </sheetView>
  </sheetViews>
  <sheetFormatPr baseColWidth="8" defaultColWidth="0" defaultRowHeight="16.9"/>
  <cols>
    <col width="3.625" customWidth="1" style="108" min="1" max="1"/>
    <col width="7.125" customWidth="1" style="108" min="2" max="2"/>
    <col width="8.8125" customWidth="1" style="108" min="3" max="3"/>
    <col width="8.3125" customWidth="1" style="108" min="4" max="5"/>
    <col width="8.8125" customWidth="1" style="108" min="6" max="6"/>
    <col width="9.375" customWidth="1" style="108" min="7" max="7"/>
    <col width="14.875" customWidth="1" style="108" min="8" max="8"/>
    <col width="13.875" customWidth="1" style="108" min="9" max="9"/>
    <col width="14.625" customWidth="1" style="108" min="10" max="10"/>
    <col width="8.8125" customWidth="1" style="108" min="11" max="11"/>
    <col width="8.9375" customWidth="1" style="108" min="12" max="12"/>
    <col width="3.625" customWidth="1" style="108" min="13" max="13"/>
  </cols>
  <sheetData>
    <row r="1">
      <c r="B1" s="35" t="n"/>
      <c r="C1" s="109" t="n"/>
      <c r="D1" s="109" t="n"/>
      <c r="E1" s="109" t="n"/>
      <c r="F1" s="109" t="n"/>
      <c r="G1" s="109" t="n"/>
      <c r="H1" s="109" t="n"/>
      <c r="I1" s="109" t="n"/>
      <c r="J1" s="109" t="n"/>
      <c r="K1" s="109" t="n"/>
      <c r="L1" s="109" t="n"/>
      <c r="N1" s="35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</row>
    <row r="2" ht="17.65" customHeight="1" s="108">
      <c r="B2" s="110" t="n">
        <v>1</v>
      </c>
      <c r="C2" s="111" t="n"/>
      <c r="D2" s="112" t="inlineStr">
        <is>
          <t>2026년 사내 소모품 관리 리스트(1차)</t>
        </is>
      </c>
      <c r="E2" s="113" t="n"/>
      <c r="F2" s="113" t="n"/>
      <c r="G2" s="113" t="n"/>
      <c r="H2" s="113" t="n"/>
      <c r="I2" s="113" t="n"/>
      <c r="J2" s="114" t="n"/>
      <c r="K2" s="3" t="inlineStr">
        <is>
          <t>담 당</t>
        </is>
      </c>
      <c r="L2" s="3" t="inlineStr">
        <is>
          <t>대표이사</t>
        </is>
      </c>
      <c r="N2" s="110" t="n">
        <v>1</v>
      </c>
      <c r="O2" s="111" t="n"/>
      <c r="P2" s="112" t="inlineStr">
        <is>
          <t>2026년 사내 부품 관리 리스트(1차)</t>
        </is>
      </c>
      <c r="Q2" s="113" t="n"/>
      <c r="R2" s="113" t="n"/>
      <c r="S2" s="113" t="n"/>
      <c r="T2" s="113" t="n"/>
      <c r="U2" s="113" t="n"/>
      <c r="V2" s="114" t="n"/>
      <c r="W2" s="3" t="inlineStr">
        <is>
          <t>담 당</t>
        </is>
      </c>
      <c r="X2" s="3" t="inlineStr">
        <is>
          <t>대표이사</t>
        </is>
      </c>
    </row>
    <row r="3" ht="16.35" customHeight="1" s="108">
      <c r="B3" s="59" t="inlineStr">
        <is>
          <t>작성일</t>
        </is>
      </c>
      <c r="C3" s="111" t="n"/>
      <c r="D3" s="115" t="n"/>
      <c r="J3" s="116" t="n"/>
      <c r="K3" s="117" t="n"/>
      <c r="L3" s="117" t="n"/>
      <c r="N3" s="59" t="inlineStr">
        <is>
          <t>작성일</t>
        </is>
      </c>
      <c r="O3" s="111" t="n"/>
      <c r="P3" s="115" t="n"/>
      <c r="V3" s="116" t="n"/>
      <c r="W3" s="117" t="n"/>
      <c r="X3" s="117" t="n"/>
    </row>
    <row r="4" ht="16.35" customHeight="1" s="108">
      <c r="B4" s="63">
        <f>TODAY()</f>
        <v/>
      </c>
      <c r="C4" s="111" t="n"/>
      <c r="D4" s="115" t="n"/>
      <c r="J4" s="116" t="n"/>
      <c r="K4" s="118" t="n"/>
      <c r="L4" s="118" t="n"/>
      <c r="N4" s="63">
        <f>TODAY()</f>
        <v/>
      </c>
      <c r="O4" s="111" t="n"/>
      <c r="P4" s="115" t="n"/>
      <c r="V4" s="116" t="n"/>
      <c r="W4" s="118" t="n"/>
      <c r="X4" s="118" t="n"/>
    </row>
    <row r="5" ht="17.25" customHeight="1" s="108">
      <c r="B5" s="65" t="inlineStr">
        <is>
          <t>문서관리번호</t>
        </is>
      </c>
      <c r="C5" s="111" t="n"/>
      <c r="D5" s="115" t="n"/>
      <c r="J5" s="116" t="n"/>
      <c r="K5" s="119" t="n"/>
      <c r="L5" s="119" t="n"/>
      <c r="N5" s="65" t="inlineStr">
        <is>
          <t>문서관리번호</t>
        </is>
      </c>
      <c r="O5" s="111" t="n"/>
      <c r="P5" s="115" t="n"/>
      <c r="V5" s="116" t="n"/>
      <c r="W5" s="119" t="n"/>
      <c r="X5" s="119" t="n"/>
    </row>
    <row r="6" ht="15.95" customHeight="1" s="108">
      <c r="B6" s="120" t="n">
        <v>3</v>
      </c>
      <c r="C6" s="111" t="n"/>
      <c r="D6" s="121" t="n"/>
      <c r="E6" s="109" t="n"/>
      <c r="F6" s="109" t="n"/>
      <c r="G6" s="109" t="n"/>
      <c r="H6" s="109" t="n"/>
      <c r="I6" s="109" t="n"/>
      <c r="J6" s="122" t="n"/>
      <c r="K6" s="123" t="n">
        <v>46031</v>
      </c>
      <c r="L6" s="123" t="n"/>
      <c r="N6" s="120" t="n">
        <v>1</v>
      </c>
      <c r="O6" s="111" t="n"/>
      <c r="P6" s="121" t="n"/>
      <c r="Q6" s="109" t="n"/>
      <c r="R6" s="109" t="n"/>
      <c r="S6" s="109" t="n"/>
      <c r="T6" s="109" t="n"/>
      <c r="U6" s="109" t="n"/>
      <c r="V6" s="122" t="n"/>
      <c r="W6" s="123" t="n">
        <v>45668</v>
      </c>
      <c r="X6" s="123" t="n">
        <v>45668</v>
      </c>
    </row>
    <row r="7">
      <c r="B7" s="68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N7" s="68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13" t="n"/>
    </row>
    <row r="8" ht="17.25" customHeight="1" s="108" thickBot="1">
      <c r="B8" s="70" t="n"/>
      <c r="C8" s="116" t="n"/>
      <c r="D8" s="124" t="inlineStr">
        <is>
          <t>품  목  (Item)</t>
        </is>
      </c>
      <c r="E8" s="125" t="n"/>
      <c r="F8" s="125" t="n"/>
      <c r="G8" s="126" t="n"/>
      <c r="H8" s="124" t="inlineStr">
        <is>
          <t>단  위  (Unit)</t>
        </is>
      </c>
      <c r="I8" s="126" t="n"/>
      <c r="J8" s="8" t="n"/>
      <c r="K8" s="10" t="inlineStr">
        <is>
          <t>조사 주기</t>
        </is>
      </c>
      <c r="L8" s="11" t="inlineStr">
        <is>
          <t>1Month</t>
        </is>
      </c>
      <c r="N8" s="70" t="n"/>
      <c r="O8" s="116" t="n"/>
      <c r="P8" s="124" t="inlineStr">
        <is>
          <t>품  목  (Item)</t>
        </is>
      </c>
      <c r="Q8" s="125" t="n"/>
      <c r="R8" s="125" t="n"/>
      <c r="S8" s="126" t="n"/>
      <c r="T8" s="124" t="inlineStr">
        <is>
          <t>단  위  (Unit)</t>
        </is>
      </c>
      <c r="U8" s="126" t="n"/>
      <c r="V8" s="8" t="n"/>
      <c r="W8" s="10" t="inlineStr">
        <is>
          <t>조사 주기</t>
        </is>
      </c>
      <c r="X8" s="11" t="inlineStr">
        <is>
          <t>1Month</t>
        </is>
      </c>
    </row>
    <row r="9" ht="17.25" customHeight="1" s="108" thickTop="1">
      <c r="C9" s="116" t="n"/>
      <c r="D9" s="127" t="inlineStr">
        <is>
          <t>사내 소모품(SUP)</t>
        </is>
      </c>
      <c r="E9" s="128" t="n"/>
      <c r="F9" s="128" t="n"/>
      <c r="G9" s="129" t="n"/>
      <c r="H9" s="127" t="inlineStr">
        <is>
          <t>EA, BOX</t>
        </is>
      </c>
      <c r="I9" s="129" t="n"/>
      <c r="J9" s="4" t="n"/>
      <c r="K9" s="10" t="inlineStr">
        <is>
          <t>조사 년월</t>
        </is>
      </c>
      <c r="L9" s="130" t="n">
        <v>46023</v>
      </c>
      <c r="O9" s="116" t="n"/>
      <c r="P9" s="127" t="inlineStr">
        <is>
          <t>사내 부품(PRT)</t>
        </is>
      </c>
      <c r="Q9" s="128" t="n"/>
      <c r="R9" s="128" t="n"/>
      <c r="S9" s="129" t="n"/>
      <c r="T9" s="127" t="inlineStr">
        <is>
          <t>EA</t>
        </is>
      </c>
      <c r="U9" s="129" t="n"/>
      <c r="V9" s="4" t="n"/>
      <c r="W9" s="10" t="inlineStr">
        <is>
          <t>조사 년월</t>
        </is>
      </c>
      <c r="X9" s="130" t="n">
        <v>46023</v>
      </c>
    </row>
    <row r="10">
      <c r="C10" s="116" t="n"/>
      <c r="D10" s="121" t="n"/>
      <c r="E10" s="109" t="n"/>
      <c r="F10" s="109" t="n"/>
      <c r="G10" s="122" t="n"/>
      <c r="H10" s="121" t="n"/>
      <c r="I10" s="122" t="n"/>
      <c r="J10" s="4" t="n"/>
      <c r="K10" s="131" t="inlineStr">
        <is>
          <t>조사 담당</t>
        </is>
      </c>
      <c r="L10" s="130" t="inlineStr">
        <is>
          <t>이창우</t>
        </is>
      </c>
      <c r="O10" s="116" t="n"/>
      <c r="P10" s="121" t="n"/>
      <c r="Q10" s="109" t="n"/>
      <c r="R10" s="109" t="n"/>
      <c r="S10" s="122" t="n"/>
      <c r="T10" s="121" t="n"/>
      <c r="U10" s="122" t="n"/>
      <c r="V10" s="4" t="n"/>
      <c r="W10" s="131" t="inlineStr">
        <is>
          <t>조사 담당</t>
        </is>
      </c>
      <c r="X10" s="130" t="inlineStr">
        <is>
          <t>이창우</t>
        </is>
      </c>
    </row>
    <row r="11">
      <c r="B11" s="35" t="n"/>
      <c r="C11" s="109" t="n"/>
      <c r="D11" s="109" t="n"/>
      <c r="E11" s="109" t="n"/>
      <c r="F11" s="109" t="n"/>
      <c r="G11" s="109" t="n"/>
      <c r="H11" s="109" t="n"/>
      <c r="I11" s="109" t="n"/>
      <c r="J11" s="109" t="n"/>
      <c r="K11" s="109" t="n"/>
      <c r="L11" s="109" t="n"/>
      <c r="N11" s="35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</row>
    <row r="12" ht="18" customHeight="1" s="108">
      <c r="B12" s="39" t="inlineStr">
        <is>
          <t>월</t>
        </is>
      </c>
      <c r="C12" s="40" t="inlineStr">
        <is>
          <t>일</t>
        </is>
      </c>
      <c r="D12" s="5" t="inlineStr">
        <is>
          <t>관리 번호</t>
        </is>
      </c>
      <c r="E12" s="114" t="n"/>
      <c r="F12" s="5" t="inlineStr">
        <is>
          <t>소모품 이름</t>
        </is>
      </c>
      <c r="G12" s="114" t="n"/>
      <c r="H12" s="5" t="inlineStr">
        <is>
          <t>입고 수량</t>
        </is>
      </c>
      <c r="I12" s="5" t="inlineStr">
        <is>
          <t>출고 수량</t>
        </is>
      </c>
      <c r="J12" s="5" t="inlineStr">
        <is>
          <t>현재 수량</t>
        </is>
      </c>
      <c r="K12" s="36" t="inlineStr">
        <is>
          <t>파기 여부 (개수)</t>
        </is>
      </c>
      <c r="L12" s="111" t="n"/>
      <c r="N12" s="39" t="inlineStr">
        <is>
          <t>월</t>
        </is>
      </c>
      <c r="O12" s="40" t="inlineStr">
        <is>
          <t>일</t>
        </is>
      </c>
      <c r="P12" s="5" t="inlineStr">
        <is>
          <t>관리 번호</t>
        </is>
      </c>
      <c r="Q12" s="114" t="n"/>
      <c r="R12" s="5" t="inlineStr">
        <is>
          <t>부품 이름</t>
        </is>
      </c>
      <c r="S12" s="114" t="n"/>
      <c r="T12" s="5" t="inlineStr">
        <is>
          <t>입고 수량</t>
        </is>
      </c>
      <c r="U12" s="5" t="inlineStr">
        <is>
          <t>출고 수량</t>
        </is>
      </c>
      <c r="V12" s="5" t="inlineStr">
        <is>
          <t>현재 수량</t>
        </is>
      </c>
      <c r="W12" s="36" t="inlineStr">
        <is>
          <t>파기 여부 (개수)</t>
        </is>
      </c>
      <c r="X12" s="111" t="n"/>
    </row>
    <row r="13" ht="15.7" customHeight="1" s="108" thickBot="1">
      <c r="B13" s="15" t="inlineStr">
        <is>
          <t>(DATE)</t>
        </is>
      </c>
      <c r="C13" s="132" t="n"/>
      <c r="D13" s="15" t="inlineStr">
        <is>
          <t>(Management No.)</t>
        </is>
      </c>
      <c r="E13" s="132" t="n"/>
      <c r="F13" s="15" t="inlineStr">
        <is>
          <t>(Sub-name)</t>
        </is>
      </c>
      <c r="G13" s="132" t="n"/>
      <c r="H13" s="14" t="inlineStr">
        <is>
          <t>(Received Quantity)</t>
        </is>
      </c>
      <c r="I13" s="15" t="inlineStr">
        <is>
          <t>(Issued Quantity)</t>
        </is>
      </c>
      <c r="J13" s="15" t="inlineStr">
        <is>
          <t>(Current Quantity)</t>
        </is>
      </c>
      <c r="K13" s="9" t="inlineStr">
        <is>
          <t>여</t>
        </is>
      </c>
      <c r="L13" s="9" t="inlineStr">
        <is>
          <t>부</t>
        </is>
      </c>
      <c r="N13" s="15" t="inlineStr">
        <is>
          <t>(DATE)</t>
        </is>
      </c>
      <c r="O13" s="132" t="n"/>
      <c r="P13" s="15" t="inlineStr">
        <is>
          <t>(Management No.)</t>
        </is>
      </c>
      <c r="Q13" s="132" t="n"/>
      <c r="R13" s="15" t="inlineStr">
        <is>
          <t>(Sub-name)</t>
        </is>
      </c>
      <c r="S13" s="132" t="n"/>
      <c r="T13" s="14" t="inlineStr">
        <is>
          <t>(Received Quantity)</t>
        </is>
      </c>
      <c r="U13" s="15" t="inlineStr">
        <is>
          <t>(Issued Quantity)</t>
        </is>
      </c>
      <c r="V13" s="15" t="inlineStr">
        <is>
          <t>(Current Quantity)</t>
        </is>
      </c>
      <c r="W13" s="9" t="inlineStr">
        <is>
          <t>여</t>
        </is>
      </c>
      <c r="X13" s="9" t="inlineStr">
        <is>
          <t>부</t>
        </is>
      </c>
    </row>
    <row r="14" ht="17.25" customHeight="1" s="108" thickTop="1">
      <c r="B14" s="133" t="inlineStr">
        <is>
          <t>1</t>
        </is>
      </c>
      <c r="C14" s="133" t="inlineStr">
        <is>
          <t>2</t>
        </is>
      </c>
      <c r="D14" s="43" t="inlineStr">
        <is>
          <t>HP-SUP-2026-001</t>
        </is>
      </c>
      <c r="E14" s="122" t="n"/>
      <c r="F14" s="44" t="inlineStr">
        <is>
          <t>평화일반클립 B1</t>
        </is>
      </c>
      <c r="G14" s="122" t="n"/>
      <c r="H14" s="134" t="n">
        <v>12</v>
      </c>
      <c r="I14" s="134" t="n">
        <v>4</v>
      </c>
      <c r="J14" s="134" t="n">
        <v>8</v>
      </c>
      <c r="K14" s="135" t="n"/>
      <c r="L14" s="136" t="n"/>
      <c r="N14" s="133" t="inlineStr">
        <is>
          <t>1</t>
        </is>
      </c>
      <c r="O14" s="133" t="inlineStr">
        <is>
          <t>2</t>
        </is>
      </c>
      <c r="P14" s="137" t="inlineStr">
        <is>
          <t>HP-PRT-2026-001</t>
        </is>
      </c>
      <c r="Q14" s="138" t="n"/>
      <c r="R14" s="137" t="n"/>
      <c r="S14" s="138" t="n"/>
      <c r="T14" s="135" t="n">
        <v>7</v>
      </c>
      <c r="U14" s="135" t="n">
        <v>6</v>
      </c>
      <c r="V14" s="1">
        <f>T14-U14-W14</f>
        <v/>
      </c>
      <c r="W14" s="135" t="n">
        <v>1</v>
      </c>
      <c r="X14" s="136" t="n"/>
    </row>
    <row r="15">
      <c r="B15" s="133" t="inlineStr">
        <is>
          <t>1</t>
        </is>
      </c>
      <c r="C15" s="133" t="inlineStr">
        <is>
          <t>2</t>
        </is>
      </c>
      <c r="D15" s="43" t="inlineStr">
        <is>
          <t>HP-SUP-2026-002</t>
        </is>
      </c>
      <c r="E15" s="122" t="n"/>
      <c r="F15" s="45" t="inlineStr">
        <is>
          <t>JETSTREAM RD</t>
        </is>
      </c>
      <c r="G15" s="111" t="n"/>
      <c r="H15" s="135" t="n">
        <v>4</v>
      </c>
      <c r="I15" s="135" t="n">
        <v>1</v>
      </c>
      <c r="J15" s="135">
        <f>H15-I15</f>
        <v/>
      </c>
      <c r="K15" s="135" t="n"/>
      <c r="L15" s="136" t="n"/>
      <c r="N15" s="133" t="inlineStr">
        <is>
          <t>1</t>
        </is>
      </c>
      <c r="O15" s="133" t="inlineStr">
        <is>
          <t>2</t>
        </is>
      </c>
      <c r="P15" s="139" t="inlineStr">
        <is>
          <t>HP-PRT-2026-002</t>
        </is>
      </c>
      <c r="Q15" s="111" t="n"/>
      <c r="R15" s="139" t="n"/>
      <c r="S15" s="111" t="n"/>
      <c r="T15" s="135" t="n">
        <v>10</v>
      </c>
      <c r="U15" s="135" t="n">
        <v>1</v>
      </c>
      <c r="V15" s="1">
        <f>T15-U15-W15</f>
        <v/>
      </c>
      <c r="W15" s="135" t="n"/>
      <c r="X15" s="136" t="n">
        <v>0</v>
      </c>
    </row>
    <row r="16">
      <c r="B16" s="133" t="inlineStr">
        <is>
          <t>1</t>
        </is>
      </c>
      <c r="C16" s="133" t="inlineStr">
        <is>
          <t>2</t>
        </is>
      </c>
      <c r="D16" s="43" t="inlineStr">
        <is>
          <t>HP-SUP-2026-003</t>
        </is>
      </c>
      <c r="E16" s="122" t="n"/>
      <c r="F16" s="45" t="inlineStr">
        <is>
          <t>JETSTREAM BL</t>
        </is>
      </c>
      <c r="G16" s="111" t="n"/>
      <c r="H16" s="135" t="n">
        <v>4</v>
      </c>
      <c r="I16" s="135" t="n">
        <v>1</v>
      </c>
      <c r="J16" s="135">
        <f>H16-I16</f>
        <v/>
      </c>
      <c r="K16" s="135" t="n"/>
      <c r="L16" s="136" t="n"/>
      <c r="N16" s="133" t="inlineStr">
        <is>
          <t>1</t>
        </is>
      </c>
      <c r="O16" s="133" t="inlineStr">
        <is>
          <t>2</t>
        </is>
      </c>
      <c r="P16" s="139" t="inlineStr">
        <is>
          <t>HP-PRT-2026-003</t>
        </is>
      </c>
      <c r="Q16" s="111" t="n"/>
      <c r="R16" s="139" t="n"/>
      <c r="S16" s="111" t="n"/>
      <c r="T16" s="135" t="n"/>
      <c r="U16" s="135" t="n"/>
      <c r="V16" s="1">
        <f>T16-U16-W16</f>
        <v/>
      </c>
      <c r="W16" s="135" t="n"/>
      <c r="X16" s="136" t="n"/>
    </row>
    <row r="17">
      <c r="B17" s="133" t="inlineStr">
        <is>
          <t>1</t>
        </is>
      </c>
      <c r="C17" s="133" t="inlineStr">
        <is>
          <t>2</t>
        </is>
      </c>
      <c r="D17" s="43" t="inlineStr">
        <is>
          <t>HP-SUP-2026-004</t>
        </is>
      </c>
      <c r="E17" s="122" t="n"/>
      <c r="F17" s="45" t="inlineStr">
        <is>
          <t>JETSTREAM BK 0.38</t>
        </is>
      </c>
      <c r="G17" s="111" t="n"/>
      <c r="H17" s="135" t="n">
        <v>3</v>
      </c>
      <c r="I17" s="135" t="n">
        <v>0</v>
      </c>
      <c r="J17" s="135">
        <f>H17-I17</f>
        <v/>
      </c>
      <c r="K17" s="135" t="n"/>
      <c r="L17" s="136" t="n"/>
      <c r="N17" s="133" t="inlineStr">
        <is>
          <t>1</t>
        </is>
      </c>
      <c r="O17" s="133" t="inlineStr">
        <is>
          <t>2</t>
        </is>
      </c>
      <c r="P17" s="139" t="inlineStr">
        <is>
          <t>HP-PRT-2026-004</t>
        </is>
      </c>
      <c r="Q17" s="111" t="n"/>
      <c r="R17" s="139" t="n"/>
      <c r="S17" s="111" t="n"/>
      <c r="T17" s="135" t="n"/>
      <c r="U17" s="135" t="n"/>
      <c r="V17" s="1">
        <f>T17-U17-W17</f>
        <v/>
      </c>
      <c r="W17" s="135" t="n"/>
      <c r="X17" s="136" t="n"/>
    </row>
    <row r="18">
      <c r="B18" s="133" t="inlineStr">
        <is>
          <t>1</t>
        </is>
      </c>
      <c r="C18" s="133" t="inlineStr">
        <is>
          <t>2</t>
        </is>
      </c>
      <c r="D18" s="43" t="inlineStr">
        <is>
          <t>HP-SUP-2026-005</t>
        </is>
      </c>
      <c r="E18" s="122" t="n"/>
      <c r="F18" s="45" t="inlineStr">
        <is>
          <t>JETSTREAM BK 0.5</t>
        </is>
      </c>
      <c r="G18" s="111" t="n"/>
      <c r="H18" s="135" t="n">
        <v>19</v>
      </c>
      <c r="I18" s="135" t="n">
        <v>3</v>
      </c>
      <c r="J18" s="135">
        <f>H18-I18</f>
        <v/>
      </c>
      <c r="K18" s="135" t="n"/>
      <c r="L18" s="136" t="n"/>
      <c r="N18" s="133" t="inlineStr">
        <is>
          <t>1</t>
        </is>
      </c>
      <c r="O18" s="133" t="inlineStr">
        <is>
          <t>2</t>
        </is>
      </c>
      <c r="P18" s="139" t="inlineStr">
        <is>
          <t>HP-PRT-2026-005</t>
        </is>
      </c>
      <c r="Q18" s="111" t="n"/>
      <c r="R18" s="139" t="n"/>
      <c r="S18" s="111" t="n"/>
      <c r="T18" s="135" t="n"/>
      <c r="U18" s="135" t="n"/>
      <c r="V18" s="1">
        <f>T18-U18-W18</f>
        <v/>
      </c>
      <c r="W18" s="135" t="n"/>
      <c r="X18" s="136" t="n"/>
    </row>
    <row r="19">
      <c r="B19" s="133" t="inlineStr">
        <is>
          <t>1</t>
        </is>
      </c>
      <c r="C19" s="133" t="inlineStr">
        <is>
          <t>2</t>
        </is>
      </c>
      <c r="D19" s="43" t="inlineStr">
        <is>
          <t>HP-SUP-2026-006</t>
        </is>
      </c>
      <c r="E19" s="122" t="n"/>
      <c r="F19" s="45" t="inlineStr">
        <is>
          <t>JETSTREAM BK 0.7</t>
        </is>
      </c>
      <c r="G19" s="111" t="n"/>
      <c r="H19" s="135" t="n">
        <v>18</v>
      </c>
      <c r="I19" s="135" t="n">
        <v>1</v>
      </c>
      <c r="J19" s="135">
        <f>H19-I19</f>
        <v/>
      </c>
      <c r="K19" s="135" t="n"/>
      <c r="L19" s="136" t="n"/>
      <c r="N19" s="133" t="inlineStr">
        <is>
          <t>1</t>
        </is>
      </c>
      <c r="O19" s="133" t="inlineStr">
        <is>
          <t>2</t>
        </is>
      </c>
      <c r="P19" s="139" t="inlineStr">
        <is>
          <t>HP-PRT-2026-006</t>
        </is>
      </c>
      <c r="Q19" s="111" t="n"/>
      <c r="R19" s="139" t="n"/>
      <c r="S19" s="111" t="n"/>
      <c r="T19" s="135" t="n"/>
      <c r="U19" s="135" t="n"/>
      <c r="V19" s="1">
        <f>T19-U19-W19</f>
        <v/>
      </c>
      <c r="W19" s="135" t="n"/>
      <c r="X19" s="136" t="n"/>
    </row>
    <row r="20">
      <c r="B20" s="133" t="inlineStr">
        <is>
          <t>1</t>
        </is>
      </c>
      <c r="C20" s="133" t="inlineStr">
        <is>
          <t>2</t>
        </is>
      </c>
      <c r="D20" s="43" t="inlineStr">
        <is>
          <t>HP-SUP-2026-007</t>
        </is>
      </c>
      <c r="E20" s="122" t="n"/>
      <c r="F20" s="45" t="inlineStr">
        <is>
          <t>JETSTREAM BK 1.0</t>
        </is>
      </c>
      <c r="G20" s="111" t="n"/>
      <c r="H20" s="135" t="n">
        <v>18</v>
      </c>
      <c r="I20" s="135" t="n">
        <v>1</v>
      </c>
      <c r="J20" s="135">
        <f>H20-I20</f>
        <v/>
      </c>
      <c r="K20" s="135" t="n"/>
      <c r="L20" s="136" t="n"/>
      <c r="N20" s="133" t="inlineStr">
        <is>
          <t>1</t>
        </is>
      </c>
      <c r="O20" s="133" t="inlineStr">
        <is>
          <t>2</t>
        </is>
      </c>
      <c r="P20" s="139" t="inlineStr">
        <is>
          <t>HP-PRT-2026-007</t>
        </is>
      </c>
      <c r="Q20" s="111" t="n"/>
      <c r="R20" s="139" t="n"/>
      <c r="S20" s="111" t="n"/>
      <c r="T20" s="135" t="n"/>
      <c r="U20" s="135" t="n"/>
      <c r="V20" s="1">
        <f>T20-U20-W20</f>
        <v/>
      </c>
      <c r="W20" s="135" t="n"/>
      <c r="X20" s="136" t="n"/>
    </row>
    <row r="21">
      <c r="B21" s="133" t="inlineStr">
        <is>
          <t>1</t>
        </is>
      </c>
      <c r="C21" s="133" t="inlineStr">
        <is>
          <t>2</t>
        </is>
      </c>
      <c r="D21" s="43" t="inlineStr">
        <is>
          <t>HP-SUP-2026-008</t>
        </is>
      </c>
      <c r="E21" s="122" t="n"/>
      <c r="F21" s="45" t="inlineStr">
        <is>
          <t>고체형광펜(노랑)</t>
        </is>
      </c>
      <c r="G21" s="111" t="n"/>
      <c r="H21" s="135" t="n">
        <v>22</v>
      </c>
      <c r="I21" s="135" t="n">
        <v>3</v>
      </c>
      <c r="J21" s="135">
        <f>H21-I21</f>
        <v/>
      </c>
      <c r="K21" s="135" t="n"/>
      <c r="L21" s="136" t="n"/>
      <c r="N21" s="133" t="inlineStr">
        <is>
          <t>1</t>
        </is>
      </c>
      <c r="O21" s="133" t="inlineStr">
        <is>
          <t>2</t>
        </is>
      </c>
      <c r="P21" s="139" t="inlineStr">
        <is>
          <t>HP-PRT-2026-008</t>
        </is>
      </c>
      <c r="Q21" s="111" t="n"/>
      <c r="R21" s="139" t="n"/>
      <c r="S21" s="111" t="n"/>
      <c r="T21" s="135" t="n"/>
      <c r="U21" s="135" t="n"/>
      <c r="V21" s="1">
        <f>T21-U21-W21</f>
        <v/>
      </c>
      <c r="W21" s="135" t="n"/>
      <c r="X21" s="136" t="n"/>
    </row>
    <row r="22">
      <c r="B22" s="133" t="inlineStr">
        <is>
          <t>1</t>
        </is>
      </c>
      <c r="C22" s="133" t="inlineStr">
        <is>
          <t>2</t>
        </is>
      </c>
      <c r="D22" s="43" t="inlineStr">
        <is>
          <t>HP-SUP-2026-009</t>
        </is>
      </c>
      <c r="E22" s="122" t="n"/>
      <c r="F22" s="45" t="inlineStr">
        <is>
          <t>고체형광펜(주황)</t>
        </is>
      </c>
      <c r="G22" s="111" t="n"/>
      <c r="H22" s="135" t="n">
        <v>12</v>
      </c>
      <c r="I22" s="135" t="n">
        <v>1</v>
      </c>
      <c r="J22" s="135">
        <f>H22-I22</f>
        <v/>
      </c>
      <c r="K22" s="135" t="n"/>
      <c r="L22" s="136" t="n"/>
      <c r="N22" s="133" t="inlineStr">
        <is>
          <t>1</t>
        </is>
      </c>
      <c r="O22" s="133" t="inlineStr">
        <is>
          <t>2</t>
        </is>
      </c>
      <c r="P22" s="139" t="inlineStr">
        <is>
          <t>HP-PRT-2026-009</t>
        </is>
      </c>
      <c r="Q22" s="111" t="n"/>
      <c r="R22" s="139" t="n"/>
      <c r="S22" s="111" t="n"/>
      <c r="T22" s="135" t="n"/>
      <c r="U22" s="135" t="n"/>
      <c r="V22" s="1">
        <f>T22-U22-W22</f>
        <v/>
      </c>
      <c r="W22" s="135" t="n"/>
      <c r="X22" s="136" t="n"/>
    </row>
    <row r="23">
      <c r="B23" s="133" t="inlineStr">
        <is>
          <t>1</t>
        </is>
      </c>
      <c r="C23" s="133" t="inlineStr">
        <is>
          <t>2</t>
        </is>
      </c>
      <c r="D23" s="43" t="inlineStr">
        <is>
          <t>HP-SUP-2026-010</t>
        </is>
      </c>
      <c r="E23" s="122" t="n"/>
      <c r="F23" s="45" t="inlineStr">
        <is>
          <t>네임펜(모나미)</t>
        </is>
      </c>
      <c r="G23" s="111" t="n"/>
      <c r="H23" s="135" t="n">
        <v>26</v>
      </c>
      <c r="I23" s="135" t="n">
        <v>3</v>
      </c>
      <c r="J23" s="135">
        <f>H23-I23</f>
        <v/>
      </c>
      <c r="K23" s="135" t="n"/>
      <c r="L23" s="136" t="n"/>
      <c r="N23" s="133" t="inlineStr">
        <is>
          <t>1</t>
        </is>
      </c>
      <c r="O23" s="133" t="inlineStr">
        <is>
          <t>2</t>
        </is>
      </c>
      <c r="P23" s="139" t="inlineStr">
        <is>
          <t>HP-PRT-2026-010</t>
        </is>
      </c>
      <c r="Q23" s="111" t="n"/>
      <c r="R23" s="139" t="n"/>
      <c r="S23" s="111" t="n"/>
      <c r="T23" s="135" t="n"/>
      <c r="U23" s="135" t="n"/>
      <c r="V23" s="1">
        <f>T23-U23-W23</f>
        <v/>
      </c>
      <c r="W23" s="135" t="n"/>
      <c r="X23" s="136" t="n"/>
    </row>
    <row r="24">
      <c r="B24" s="133" t="inlineStr">
        <is>
          <t>1</t>
        </is>
      </c>
      <c r="C24" s="133" t="inlineStr">
        <is>
          <t>2</t>
        </is>
      </c>
      <c r="D24" s="43" t="inlineStr">
        <is>
          <t>HP-SUP-2026-011</t>
        </is>
      </c>
      <c r="E24" s="122" t="n"/>
      <c r="F24" s="45" t="inlineStr">
        <is>
          <t>3색볼펜</t>
        </is>
      </c>
      <c r="G24" s="111" t="n"/>
      <c r="H24" s="135" t="n">
        <v>6</v>
      </c>
      <c r="I24" s="135" t="n">
        <v>0</v>
      </c>
      <c r="J24" s="135">
        <f>H24-I24</f>
        <v/>
      </c>
      <c r="K24" s="135" t="n"/>
      <c r="L24" s="136" t="n"/>
      <c r="N24" s="133" t="inlineStr">
        <is>
          <t>1</t>
        </is>
      </c>
      <c r="O24" s="133" t="inlineStr">
        <is>
          <t>2</t>
        </is>
      </c>
      <c r="P24" s="139" t="inlineStr">
        <is>
          <t>HP-PRT-2026-011</t>
        </is>
      </c>
      <c r="Q24" s="111" t="n"/>
      <c r="R24" s="139" t="n"/>
      <c r="S24" s="111" t="n"/>
      <c r="T24" s="135" t="n"/>
      <c r="U24" s="135" t="n"/>
      <c r="V24" s="1">
        <f>T24-U24-W24</f>
        <v/>
      </c>
      <c r="W24" s="135" t="n"/>
      <c r="X24" s="136" t="n"/>
    </row>
    <row r="25">
      <c r="B25" s="133" t="inlineStr">
        <is>
          <t>1</t>
        </is>
      </c>
      <c r="C25" s="133" t="inlineStr">
        <is>
          <t>2</t>
        </is>
      </c>
      <c r="D25" s="43" t="inlineStr">
        <is>
          <t>HP-SUP-2026-012</t>
        </is>
      </c>
      <c r="E25" s="122" t="n"/>
      <c r="F25" s="45" t="inlineStr">
        <is>
          <t>필기구(샤프, 연필등)</t>
        </is>
      </c>
      <c r="G25" s="111" t="n"/>
      <c r="H25" s="135" t="n">
        <v>8</v>
      </c>
      <c r="I25" s="135" t="n">
        <v>1</v>
      </c>
      <c r="J25" s="135">
        <f>H25-I25</f>
        <v/>
      </c>
      <c r="K25" s="135" t="n"/>
      <c r="L25" s="136" t="n"/>
      <c r="N25" s="133" t="inlineStr">
        <is>
          <t>1</t>
        </is>
      </c>
      <c r="O25" s="133" t="inlineStr">
        <is>
          <t>2</t>
        </is>
      </c>
      <c r="P25" s="139" t="inlineStr">
        <is>
          <t>HP-PRT-2026-012</t>
        </is>
      </c>
      <c r="Q25" s="111" t="n"/>
      <c r="R25" s="139" t="n"/>
      <c r="S25" s="111" t="n"/>
      <c r="T25" s="135" t="n"/>
      <c r="U25" s="135" t="n"/>
      <c r="V25" s="1">
        <f>T25-U25-W25</f>
        <v/>
      </c>
      <c r="W25" s="135" t="n"/>
      <c r="X25" s="136" t="n"/>
    </row>
    <row r="26">
      <c r="B26" s="133" t="inlineStr">
        <is>
          <t>1</t>
        </is>
      </c>
      <c r="C26" s="133" t="inlineStr">
        <is>
          <t>2</t>
        </is>
      </c>
      <c r="D26" s="43" t="inlineStr">
        <is>
          <t>HP-SUP-2026-013</t>
        </is>
      </c>
      <c r="E26" s="122" t="n"/>
      <c r="F26" s="45" t="inlineStr">
        <is>
          <t>기타外 볼펜, 필기구등</t>
        </is>
      </c>
      <c r="G26" s="111" t="n"/>
      <c r="H26" s="135" t="n">
        <v>4</v>
      </c>
      <c r="I26" s="135" t="n">
        <v>1</v>
      </c>
      <c r="J26" s="135">
        <f>H26-I26</f>
        <v/>
      </c>
      <c r="K26" s="135" t="n"/>
      <c r="L26" s="136" t="n"/>
      <c r="N26" s="133" t="inlineStr">
        <is>
          <t>1</t>
        </is>
      </c>
      <c r="O26" s="133" t="inlineStr">
        <is>
          <t>2</t>
        </is>
      </c>
      <c r="P26" s="139" t="inlineStr">
        <is>
          <t>HP-PRT-2026-013</t>
        </is>
      </c>
      <c r="Q26" s="111" t="n"/>
      <c r="R26" s="139" t="n"/>
      <c r="S26" s="111" t="n"/>
      <c r="T26" s="135" t="n"/>
      <c r="U26" s="135" t="n"/>
      <c r="V26" s="1">
        <f>T26-U26-W26</f>
        <v/>
      </c>
      <c r="W26" s="135" t="n"/>
      <c r="X26" s="136" t="n"/>
    </row>
    <row r="27">
      <c r="B27" s="133" t="inlineStr">
        <is>
          <t>1</t>
        </is>
      </c>
      <c r="C27" s="133" t="inlineStr">
        <is>
          <t>2</t>
        </is>
      </c>
      <c r="D27" s="43" t="inlineStr">
        <is>
          <t>HP-SUP-2026-014</t>
        </is>
      </c>
      <c r="E27" s="122" t="n"/>
      <c r="F27" s="45" t="inlineStr">
        <is>
          <t>액체 형광펜(색상구분X)</t>
        </is>
      </c>
      <c r="G27" s="111" t="n"/>
      <c r="H27" s="135" t="n">
        <v>16</v>
      </c>
      <c r="I27" s="135" t="n">
        <v>2</v>
      </c>
      <c r="J27" s="135">
        <f>H27-I27</f>
        <v/>
      </c>
      <c r="K27" s="135" t="n"/>
      <c r="L27" s="136" t="n"/>
      <c r="N27" s="133" t="inlineStr">
        <is>
          <t>1</t>
        </is>
      </c>
      <c r="O27" s="133" t="inlineStr">
        <is>
          <t>2</t>
        </is>
      </c>
      <c r="P27" s="139" t="inlineStr">
        <is>
          <t>HP-PRT-2026-014</t>
        </is>
      </c>
      <c r="Q27" s="111" t="n"/>
      <c r="R27" s="139" t="n"/>
      <c r="S27" s="111" t="n"/>
      <c r="T27" s="135" t="n"/>
      <c r="U27" s="135" t="n"/>
      <c r="V27" s="1">
        <f>T27-U27-W27</f>
        <v/>
      </c>
      <c r="W27" s="135" t="n"/>
      <c r="X27" s="136" t="n"/>
    </row>
    <row r="28">
      <c r="B28" s="133" t="inlineStr">
        <is>
          <t>1</t>
        </is>
      </c>
      <c r="C28" s="133" t="inlineStr">
        <is>
          <t>2</t>
        </is>
      </c>
      <c r="D28" s="43" t="inlineStr">
        <is>
          <t>HP-SUP-2026-015</t>
        </is>
      </c>
      <c r="E28" s="122" t="n"/>
      <c r="F28" s="45" t="inlineStr">
        <is>
          <t>지우개</t>
        </is>
      </c>
      <c r="G28" s="111" t="n"/>
      <c r="H28" s="135" t="n">
        <v>7</v>
      </c>
      <c r="I28" s="135" t="n">
        <v>0</v>
      </c>
      <c r="J28" s="135">
        <f>H28-I28</f>
        <v/>
      </c>
      <c r="K28" s="135" t="n"/>
      <c r="L28" s="136" t="n"/>
      <c r="N28" s="133" t="inlineStr">
        <is>
          <t>1</t>
        </is>
      </c>
      <c r="O28" s="133" t="inlineStr">
        <is>
          <t>2</t>
        </is>
      </c>
      <c r="P28" s="139" t="inlineStr">
        <is>
          <t>HP-PRT-2026-015</t>
        </is>
      </c>
      <c r="Q28" s="111" t="n"/>
      <c r="R28" s="139" t="n"/>
      <c r="S28" s="111" t="n"/>
      <c r="T28" s="135" t="n"/>
      <c r="U28" s="135" t="n"/>
      <c r="V28" s="1">
        <f>T28-U28-W28</f>
        <v/>
      </c>
      <c r="W28" s="135" t="n"/>
      <c r="X28" s="136" t="n"/>
    </row>
    <row r="29">
      <c r="B29" s="133" t="inlineStr">
        <is>
          <t>1</t>
        </is>
      </c>
      <c r="C29" s="133" t="inlineStr">
        <is>
          <t>2</t>
        </is>
      </c>
      <c r="D29" s="43" t="inlineStr">
        <is>
          <t>HP-SUP-2026-016</t>
        </is>
      </c>
      <c r="E29" s="122" t="n"/>
      <c r="F29" s="45" t="inlineStr">
        <is>
          <t>샤프심</t>
        </is>
      </c>
      <c r="G29" s="111" t="n"/>
      <c r="H29" s="135" t="n">
        <v>2</v>
      </c>
      <c r="I29" s="135" t="n">
        <v>0</v>
      </c>
      <c r="J29" s="135">
        <f>H29-I29</f>
        <v/>
      </c>
      <c r="K29" s="135" t="n"/>
      <c r="L29" s="136" t="n"/>
      <c r="N29" s="133" t="inlineStr">
        <is>
          <t>1</t>
        </is>
      </c>
      <c r="O29" s="133" t="inlineStr">
        <is>
          <t>2</t>
        </is>
      </c>
      <c r="P29" s="139" t="inlineStr">
        <is>
          <t>HP-PRT-2026-016</t>
        </is>
      </c>
      <c r="Q29" s="111" t="n"/>
      <c r="R29" s="139" t="n"/>
      <c r="S29" s="111" t="n"/>
      <c r="T29" s="135" t="n"/>
      <c r="U29" s="135" t="n"/>
      <c r="V29" s="1">
        <f>T29-U29-W29</f>
        <v/>
      </c>
      <c r="W29" s="135" t="n"/>
      <c r="X29" s="136" t="n"/>
    </row>
    <row r="30">
      <c r="B30" s="133" t="inlineStr">
        <is>
          <t>1</t>
        </is>
      </c>
      <c r="C30" s="133" t="inlineStr">
        <is>
          <t>2</t>
        </is>
      </c>
      <c r="D30" s="43" t="inlineStr">
        <is>
          <t>HP-SUP-2026-017</t>
        </is>
      </c>
      <c r="E30" s="122" t="n"/>
      <c r="F30" s="45" t="inlineStr">
        <is>
          <t>커터칼</t>
        </is>
      </c>
      <c r="G30" s="111" t="n"/>
      <c r="H30" s="135" t="n">
        <v>8</v>
      </c>
      <c r="I30" s="135" t="n">
        <v>3</v>
      </c>
      <c r="J30" s="135">
        <f>H30-I30</f>
        <v/>
      </c>
      <c r="K30" s="135" t="n"/>
      <c r="L30" s="136" t="n"/>
      <c r="N30" s="133" t="inlineStr">
        <is>
          <t>1</t>
        </is>
      </c>
      <c r="O30" s="133" t="inlineStr">
        <is>
          <t>2</t>
        </is>
      </c>
      <c r="P30" s="139" t="inlineStr">
        <is>
          <t>HP-PRT-2026-017</t>
        </is>
      </c>
      <c r="Q30" s="111" t="n"/>
      <c r="R30" s="139" t="n"/>
      <c r="S30" s="111" t="n"/>
      <c r="T30" s="135" t="n"/>
      <c r="U30" s="135" t="n"/>
      <c r="V30" s="1">
        <f>T30-U30-W30</f>
        <v/>
      </c>
      <c r="W30" s="135" t="n"/>
      <c r="X30" s="136" t="n"/>
    </row>
    <row r="31">
      <c r="B31" s="133" t="inlineStr">
        <is>
          <t>1</t>
        </is>
      </c>
      <c r="C31" s="133" t="inlineStr">
        <is>
          <t>2</t>
        </is>
      </c>
      <c r="D31" s="43" t="inlineStr">
        <is>
          <t>HP-SUP-2026-018</t>
        </is>
      </c>
      <c r="E31" s="122" t="n"/>
      <c r="F31" s="45" t="inlineStr">
        <is>
          <t>스카치투명테이프</t>
        </is>
      </c>
      <c r="G31" s="111" t="n"/>
      <c r="H31" s="135" t="n">
        <v>12</v>
      </c>
      <c r="I31" s="135" t="n">
        <v>0</v>
      </c>
      <c r="J31" s="135">
        <f>H31-I31</f>
        <v/>
      </c>
      <c r="K31" s="135" t="n"/>
      <c r="L31" s="136" t="n"/>
      <c r="N31" s="133" t="inlineStr">
        <is>
          <t>1</t>
        </is>
      </c>
      <c r="O31" s="133" t="inlineStr">
        <is>
          <t>2</t>
        </is>
      </c>
      <c r="P31" s="139" t="inlineStr">
        <is>
          <t>HP-PRT-2026-018</t>
        </is>
      </c>
      <c r="Q31" s="111" t="n"/>
      <c r="R31" s="139" t="n"/>
      <c r="S31" s="111" t="n"/>
      <c r="T31" s="135" t="n"/>
      <c r="U31" s="135" t="n"/>
      <c r="V31" s="1">
        <f>T31-U31-W31</f>
        <v/>
      </c>
      <c r="W31" s="135" t="n"/>
      <c r="X31" s="136" t="n"/>
    </row>
    <row r="32">
      <c r="B32" s="133" t="inlineStr">
        <is>
          <t>1</t>
        </is>
      </c>
      <c r="C32" s="133" t="inlineStr">
        <is>
          <t>2</t>
        </is>
      </c>
      <c r="D32" s="43" t="inlineStr">
        <is>
          <t>HP-SUP-2026-019</t>
        </is>
      </c>
      <c r="E32" s="122" t="n"/>
      <c r="F32" s="45" t="inlineStr">
        <is>
          <t>스카치재접착테이프</t>
        </is>
      </c>
      <c r="G32" s="111" t="n"/>
      <c r="H32" s="135" t="n">
        <v>13</v>
      </c>
      <c r="I32" s="135" t="n">
        <v>0</v>
      </c>
      <c r="J32" s="135">
        <f>H32-I32</f>
        <v/>
      </c>
      <c r="K32" s="135" t="n"/>
      <c r="L32" s="136" t="n"/>
      <c r="N32" s="133" t="inlineStr">
        <is>
          <t>1</t>
        </is>
      </c>
      <c r="O32" s="133" t="inlineStr">
        <is>
          <t>2</t>
        </is>
      </c>
      <c r="P32" s="139" t="inlineStr">
        <is>
          <t>HP-PRT-2026-019</t>
        </is>
      </c>
      <c r="Q32" s="111" t="n"/>
      <c r="R32" s="139" t="n"/>
      <c r="S32" s="111" t="n"/>
      <c r="T32" s="135" t="n"/>
      <c r="U32" s="135" t="n"/>
      <c r="V32" s="1">
        <f>T32-U32-W32</f>
        <v/>
      </c>
      <c r="W32" s="135" t="n"/>
      <c r="X32" s="136" t="n"/>
    </row>
    <row r="33">
      <c r="B33" s="133" t="inlineStr">
        <is>
          <t>1</t>
        </is>
      </c>
      <c r="C33" s="133" t="inlineStr">
        <is>
          <t>2</t>
        </is>
      </c>
      <c r="D33" s="43" t="inlineStr">
        <is>
          <t>HP-SUP-2026-020</t>
        </is>
      </c>
      <c r="E33" s="122" t="n"/>
      <c r="F33" s="45" t="inlineStr">
        <is>
          <t>스카치양면테이프</t>
        </is>
      </c>
      <c r="G33" s="111" t="n"/>
      <c r="H33" s="135" t="n">
        <v>2</v>
      </c>
      <c r="I33" s="135" t="n">
        <v>0</v>
      </c>
      <c r="J33" s="135">
        <f>H33-I33</f>
        <v/>
      </c>
      <c r="K33" s="135" t="n"/>
      <c r="L33" s="136" t="n"/>
      <c r="N33" s="133" t="inlineStr">
        <is>
          <t>1</t>
        </is>
      </c>
      <c r="O33" s="133" t="inlineStr">
        <is>
          <t>2</t>
        </is>
      </c>
      <c r="P33" s="139" t="inlineStr">
        <is>
          <t>HP-PRT-2026-020</t>
        </is>
      </c>
      <c r="Q33" s="111" t="n"/>
      <c r="R33" s="139" t="n"/>
      <c r="S33" s="111" t="n"/>
      <c r="T33" s="135" t="n"/>
      <c r="U33" s="135" t="n"/>
      <c r="V33" s="1">
        <f>T33-U33-W33</f>
        <v/>
      </c>
      <c r="W33" s="135" t="n"/>
      <c r="X33" s="136" t="n"/>
    </row>
    <row r="34">
      <c r="B34" s="133" t="inlineStr">
        <is>
          <t>1</t>
        </is>
      </c>
      <c r="C34" s="133" t="inlineStr">
        <is>
          <t>2</t>
        </is>
      </c>
      <c r="D34" s="43" t="inlineStr">
        <is>
          <t>HP-SUP-2026-021</t>
        </is>
      </c>
      <c r="E34" s="122" t="n"/>
      <c r="F34" s="45" t="inlineStr">
        <is>
          <t>화이트</t>
        </is>
      </c>
      <c r="G34" s="111" t="n"/>
      <c r="H34" s="135" t="n">
        <v>7</v>
      </c>
      <c r="I34" s="135" t="n">
        <v>3</v>
      </c>
      <c r="J34" s="135">
        <f>H34-I34</f>
        <v/>
      </c>
      <c r="K34" s="135" t="n"/>
      <c r="L34" s="136" t="n"/>
      <c r="N34" s="133" t="inlineStr">
        <is>
          <t>1</t>
        </is>
      </c>
      <c r="O34" s="133" t="inlineStr">
        <is>
          <t>2</t>
        </is>
      </c>
      <c r="P34" s="139" t="inlineStr">
        <is>
          <t>HP-PRT-2026-021</t>
        </is>
      </c>
      <c r="Q34" s="111" t="n"/>
      <c r="R34" s="139" t="n"/>
      <c r="S34" s="111" t="n"/>
      <c r="T34" s="135" t="n"/>
      <c r="U34" s="135" t="n"/>
      <c r="V34" s="1">
        <f>T34-U34-W34</f>
        <v/>
      </c>
      <c r="W34" s="135" t="n"/>
      <c r="X34" s="136" t="n"/>
    </row>
    <row r="35">
      <c r="B35" s="140" t="inlineStr">
        <is>
          <t>1</t>
        </is>
      </c>
      <c r="C35" s="140" t="inlineStr">
        <is>
          <t>2</t>
        </is>
      </c>
      <c r="D35" s="82" t="inlineStr">
        <is>
          <t>HP-SUP-2026-022</t>
        </is>
      </c>
      <c r="E35" s="111" t="n"/>
      <c r="F35" s="83" t="inlineStr">
        <is>
          <t>님봇 50*30 라벨지</t>
        </is>
      </c>
      <c r="G35" s="111" t="n"/>
      <c r="H35" s="141" t="n">
        <v>3</v>
      </c>
      <c r="I35" s="141" t="n">
        <v>0</v>
      </c>
      <c r="J35" s="135">
        <f>H35-I35</f>
        <v/>
      </c>
      <c r="K35" s="142" t="n"/>
      <c r="L35" s="143" t="n"/>
      <c r="N35" s="133" t="inlineStr">
        <is>
          <t>1</t>
        </is>
      </c>
      <c r="O35" s="133" t="inlineStr">
        <is>
          <t>2</t>
        </is>
      </c>
      <c r="P35" s="139" t="inlineStr">
        <is>
          <t>HP-PRT-2026-022</t>
        </is>
      </c>
      <c r="Q35" s="111" t="n"/>
      <c r="R35" s="139" t="n"/>
      <c r="S35" s="111" t="n"/>
      <c r="T35" s="135" t="n"/>
      <c r="U35" s="135" t="n"/>
      <c r="V35" s="1">
        <f>T35-U35-W35</f>
        <v/>
      </c>
      <c r="W35" s="135" t="n"/>
      <c r="X35" s="136" t="n"/>
    </row>
    <row r="36">
      <c r="B36" s="133" t="inlineStr">
        <is>
          <t>1</t>
        </is>
      </c>
      <c r="C36" s="133" t="inlineStr">
        <is>
          <t>2</t>
        </is>
      </c>
      <c r="D36" s="43" t="inlineStr">
        <is>
          <t>HP-SUP-2026-023</t>
        </is>
      </c>
      <c r="E36" s="122" t="n"/>
      <c r="F36" s="45" t="inlineStr">
        <is>
          <t>클립 大형</t>
        </is>
      </c>
      <c r="G36" s="111" t="n"/>
      <c r="H36" s="135" t="n">
        <v>8</v>
      </c>
      <c r="I36" s="135" t="n">
        <v>2</v>
      </c>
      <c r="J36" s="135">
        <f>H36-I36</f>
        <v/>
      </c>
      <c r="K36" s="135" t="n"/>
      <c r="L36" s="136" t="n"/>
      <c r="N36" s="133" t="inlineStr">
        <is>
          <t>1</t>
        </is>
      </c>
      <c r="O36" s="133" t="inlineStr">
        <is>
          <t>2</t>
        </is>
      </c>
      <c r="P36" s="139" t="inlineStr">
        <is>
          <t>HP-PRT-2026-023</t>
        </is>
      </c>
      <c r="Q36" s="111" t="n"/>
      <c r="R36" s="139" t="n"/>
      <c r="S36" s="111" t="n"/>
      <c r="T36" s="135" t="n"/>
      <c r="U36" s="135" t="n"/>
      <c r="V36" s="1">
        <f>T36-U36-W36</f>
        <v/>
      </c>
      <c r="W36" s="135" t="n"/>
      <c r="X36" s="136" t="n"/>
    </row>
    <row r="37">
      <c r="B37" s="133" t="inlineStr">
        <is>
          <t>1</t>
        </is>
      </c>
      <c r="C37" s="133" t="inlineStr">
        <is>
          <t>2</t>
        </is>
      </c>
      <c r="D37" s="43" t="inlineStr">
        <is>
          <t>HP-SUP-2026-024</t>
        </is>
      </c>
      <c r="E37" s="122" t="n"/>
      <c r="F37" s="45" t="inlineStr">
        <is>
          <t>클립 中형</t>
        </is>
      </c>
      <c r="G37" s="111" t="n"/>
      <c r="H37" s="135" t="n">
        <v>12</v>
      </c>
      <c r="I37" s="135" t="n">
        <v>0</v>
      </c>
      <c r="J37" s="135">
        <f>H37-I37</f>
        <v/>
      </c>
      <c r="K37" s="135" t="n"/>
      <c r="L37" s="136" t="n"/>
      <c r="N37" s="133" t="inlineStr">
        <is>
          <t>1</t>
        </is>
      </c>
      <c r="O37" s="133" t="inlineStr">
        <is>
          <t>2</t>
        </is>
      </c>
      <c r="P37" s="139" t="inlineStr">
        <is>
          <t>HP-PRT-2026-024</t>
        </is>
      </c>
      <c r="Q37" s="111" t="n"/>
      <c r="R37" s="139" t="n"/>
      <c r="S37" s="111" t="n"/>
      <c r="T37" s="135" t="n"/>
      <c r="U37" s="135" t="n"/>
      <c r="V37" s="1">
        <f>T37-U37-W37</f>
        <v/>
      </c>
      <c r="W37" s="135" t="n"/>
      <c r="X37" s="136" t="n"/>
    </row>
    <row r="38">
      <c r="B38" s="133" t="inlineStr">
        <is>
          <t>1</t>
        </is>
      </c>
      <c r="C38" s="133" t="inlineStr">
        <is>
          <t>2</t>
        </is>
      </c>
      <c r="D38" s="43" t="inlineStr">
        <is>
          <t>HP-SUP-2026-025</t>
        </is>
      </c>
      <c r="E38" s="122" t="n"/>
      <c r="F38" s="45" t="inlineStr">
        <is>
          <t>클립 小형</t>
        </is>
      </c>
      <c r="G38" s="111" t="n"/>
      <c r="H38" s="135" t="n">
        <v>42</v>
      </c>
      <c r="I38" s="135" t="n">
        <v>2</v>
      </c>
      <c r="J38" s="135">
        <f>H38-I38</f>
        <v/>
      </c>
      <c r="K38" s="135" t="n"/>
      <c r="L38" s="136" t="n"/>
      <c r="N38" s="133" t="inlineStr">
        <is>
          <t>1</t>
        </is>
      </c>
      <c r="O38" s="133" t="inlineStr">
        <is>
          <t>2</t>
        </is>
      </c>
      <c r="P38" s="139" t="inlineStr">
        <is>
          <t>HP-PRT-2026-025</t>
        </is>
      </c>
      <c r="Q38" s="111" t="n"/>
      <c r="R38" s="139" t="n"/>
      <c r="S38" s="111" t="n"/>
      <c r="T38" s="135" t="n"/>
      <c r="U38" s="135" t="n"/>
      <c r="V38" s="1">
        <f>T38-U38-W38</f>
        <v/>
      </c>
      <c r="W38" s="135" t="n"/>
      <c r="X38" s="136" t="n"/>
    </row>
    <row r="39">
      <c r="B39" s="133" t="inlineStr">
        <is>
          <t>1</t>
        </is>
      </c>
      <c r="C39" s="133" t="inlineStr">
        <is>
          <t>2</t>
        </is>
      </c>
      <c r="D39" s="43" t="inlineStr">
        <is>
          <t>HP-SUP-2026-026</t>
        </is>
      </c>
      <c r="E39" s="122" t="n"/>
      <c r="F39" s="45" t="inlineStr">
        <is>
          <t>스테인플러</t>
        </is>
      </c>
      <c r="G39" s="111" t="n"/>
      <c r="H39" s="135" t="n">
        <v>4</v>
      </c>
      <c r="I39" s="135" t="n">
        <v>1</v>
      </c>
      <c r="J39" s="135">
        <f>H39-I39</f>
        <v/>
      </c>
      <c r="K39" s="135" t="n"/>
      <c r="L39" s="136" t="n"/>
      <c r="N39" s="133" t="inlineStr">
        <is>
          <t>1</t>
        </is>
      </c>
      <c r="O39" s="133" t="inlineStr">
        <is>
          <t>2</t>
        </is>
      </c>
      <c r="P39" s="139" t="inlineStr">
        <is>
          <t>HP-PRT-2026-026</t>
        </is>
      </c>
      <c r="Q39" s="111" t="n"/>
      <c r="R39" s="139" t="n"/>
      <c r="S39" s="111" t="n"/>
      <c r="T39" s="135" t="n"/>
      <c r="U39" s="135" t="n"/>
      <c r="V39" s="1">
        <f>T39-U39-W39</f>
        <v/>
      </c>
      <c r="W39" s="135" t="n"/>
      <c r="X39" s="136" t="n"/>
    </row>
    <row r="40">
      <c r="B40" s="133" t="inlineStr">
        <is>
          <t>1</t>
        </is>
      </c>
      <c r="C40" s="133" t="inlineStr">
        <is>
          <t>2</t>
        </is>
      </c>
      <c r="D40" s="43" t="inlineStr">
        <is>
          <t>HP-SUP-2026-027</t>
        </is>
      </c>
      <c r="E40" s="122" t="n"/>
      <c r="F40" s="45" t="inlineStr">
        <is>
          <t>스테인플러 제침기</t>
        </is>
      </c>
      <c r="G40" s="111" t="n"/>
      <c r="H40" s="135" t="n">
        <v>5</v>
      </c>
      <c r="I40" s="135" t="n">
        <v>1</v>
      </c>
      <c r="J40" s="135">
        <f>H40-I40</f>
        <v/>
      </c>
      <c r="K40" s="135" t="n"/>
      <c r="L40" s="136" t="n"/>
      <c r="N40" s="133" t="inlineStr">
        <is>
          <t>1</t>
        </is>
      </c>
      <c r="O40" s="133" t="inlineStr">
        <is>
          <t>2</t>
        </is>
      </c>
      <c r="P40" s="139" t="inlineStr">
        <is>
          <t>HP-PRT-2026-027</t>
        </is>
      </c>
      <c r="Q40" s="111" t="n"/>
      <c r="R40" s="139" t="n"/>
      <c r="S40" s="111" t="n"/>
      <c r="T40" s="135" t="n"/>
      <c r="U40" s="135" t="n"/>
      <c r="V40" s="1">
        <f>T40-U40-W40</f>
        <v/>
      </c>
      <c r="W40" s="135" t="n"/>
      <c r="X40" s="136" t="n"/>
    </row>
    <row r="41">
      <c r="B41" s="133" t="inlineStr">
        <is>
          <t>1</t>
        </is>
      </c>
      <c r="C41" s="133" t="inlineStr">
        <is>
          <t>2</t>
        </is>
      </c>
      <c r="D41" s="43" t="inlineStr">
        <is>
          <t>HP-SUP-2026-028</t>
        </is>
      </c>
      <c r="E41" s="122" t="n"/>
      <c r="F41" s="45" t="inlineStr">
        <is>
          <t>스테인플러 심 33호</t>
        </is>
      </c>
      <c r="G41" s="111" t="n"/>
      <c r="H41" s="135" t="n">
        <v>6</v>
      </c>
      <c r="I41" s="135" t="n">
        <v>0</v>
      </c>
      <c r="J41" s="135">
        <f>H41-I41</f>
        <v/>
      </c>
      <c r="K41" s="135" t="n"/>
      <c r="L41" s="136" t="n"/>
      <c r="N41" s="133" t="inlineStr">
        <is>
          <t>1</t>
        </is>
      </c>
      <c r="O41" s="133" t="inlineStr">
        <is>
          <t>2</t>
        </is>
      </c>
      <c r="P41" s="139" t="inlineStr">
        <is>
          <t>HP-PRT-2026-028</t>
        </is>
      </c>
      <c r="Q41" s="111" t="n"/>
      <c r="R41" s="139" t="n"/>
      <c r="S41" s="111" t="n"/>
      <c r="T41" s="135" t="n"/>
      <c r="U41" s="135" t="n"/>
      <c r="V41" s="1">
        <f>T41-U41-W41</f>
        <v/>
      </c>
      <c r="W41" s="135" t="n"/>
      <c r="X41" s="136" t="n"/>
    </row>
    <row r="42">
      <c r="B42" s="133" t="inlineStr">
        <is>
          <t>1</t>
        </is>
      </c>
      <c r="C42" s="133" t="inlineStr">
        <is>
          <t>2</t>
        </is>
      </c>
      <c r="D42" s="43" t="inlineStr">
        <is>
          <t>HP-SUP-2026-029</t>
        </is>
      </c>
      <c r="E42" s="122" t="n"/>
      <c r="F42" s="45" t="inlineStr">
        <is>
          <t>화신클리퍼</t>
        </is>
      </c>
      <c r="G42" s="111" t="n"/>
      <c r="H42" s="135" t="n">
        <v>5</v>
      </c>
      <c r="I42" s="135" t="n">
        <v>2</v>
      </c>
      <c r="J42" s="135">
        <f>H42-I42</f>
        <v/>
      </c>
      <c r="K42" s="135" t="n"/>
      <c r="L42" s="136" t="n"/>
      <c r="N42" s="133" t="inlineStr">
        <is>
          <t>1</t>
        </is>
      </c>
      <c r="O42" s="133" t="inlineStr">
        <is>
          <t>2</t>
        </is>
      </c>
      <c r="P42" s="139" t="inlineStr">
        <is>
          <t>HP-PRT-2026-029</t>
        </is>
      </c>
      <c r="Q42" s="111" t="n"/>
      <c r="R42" s="139" t="n"/>
      <c r="S42" s="111" t="n"/>
      <c r="T42" s="135" t="n"/>
      <c r="U42" s="135" t="n"/>
      <c r="V42" s="1">
        <f>T42-U42-W42</f>
        <v/>
      </c>
      <c r="W42" s="135" t="n"/>
      <c r="X42" s="136" t="n"/>
    </row>
    <row r="43">
      <c r="B43" s="133" t="inlineStr">
        <is>
          <t>1</t>
        </is>
      </c>
      <c r="C43" s="133" t="inlineStr">
        <is>
          <t>2</t>
        </is>
      </c>
      <c r="D43" s="43" t="inlineStr">
        <is>
          <t>HP-SUP-2026-030</t>
        </is>
      </c>
      <c r="E43" s="122" t="n"/>
      <c r="F43" s="45" t="inlineStr">
        <is>
          <t>포스트잇</t>
        </is>
      </c>
      <c r="G43" s="111" t="n"/>
      <c r="H43" s="135" t="n">
        <v>5</v>
      </c>
      <c r="I43" s="135" t="n">
        <v>2</v>
      </c>
      <c r="J43" s="135">
        <f>H43-I43</f>
        <v/>
      </c>
      <c r="K43" s="135" t="n"/>
      <c r="L43" s="136" t="n"/>
      <c r="N43" s="133" t="inlineStr">
        <is>
          <t>1</t>
        </is>
      </c>
      <c r="O43" s="133" t="inlineStr">
        <is>
          <t>2</t>
        </is>
      </c>
      <c r="P43" s="139" t="inlineStr">
        <is>
          <t>HP-PRT-2026-030</t>
        </is>
      </c>
      <c r="Q43" s="111" t="n"/>
      <c r="R43" s="139" t="n"/>
      <c r="S43" s="111" t="n"/>
      <c r="T43" s="135" t="n"/>
      <c r="U43" s="135" t="n"/>
      <c r="V43" s="1">
        <f>T43-U43-W43</f>
        <v/>
      </c>
      <c r="W43" s="135" t="n"/>
      <c r="X43" s="136" t="n"/>
    </row>
    <row r="44">
      <c r="B44" s="133" t="inlineStr">
        <is>
          <t>1</t>
        </is>
      </c>
      <c r="C44" s="133" t="inlineStr">
        <is>
          <t>2</t>
        </is>
      </c>
      <c r="D44" s="43" t="inlineStr">
        <is>
          <t>HP-SUP-2026-031</t>
        </is>
      </c>
      <c r="E44" s="122" t="n"/>
      <c r="F44" s="45" t="inlineStr">
        <is>
          <t>AAA건전지 (4개입)</t>
        </is>
      </c>
      <c r="G44" s="111" t="n"/>
      <c r="H44" s="135" t="n">
        <v>1</v>
      </c>
      <c r="I44" s="135" t="n">
        <v>0</v>
      </c>
      <c r="J44" s="135">
        <f>H44-I44</f>
        <v/>
      </c>
      <c r="K44" s="135" t="n"/>
      <c r="L44" s="136" t="n"/>
      <c r="N44" s="133" t="inlineStr">
        <is>
          <t>1</t>
        </is>
      </c>
      <c r="O44" s="133" t="inlineStr">
        <is>
          <t>2</t>
        </is>
      </c>
      <c r="P44" s="139" t="inlineStr">
        <is>
          <t>HP-PRT-2026-031</t>
        </is>
      </c>
      <c r="Q44" s="111" t="n"/>
      <c r="R44" s="139" t="n"/>
      <c r="S44" s="111" t="n"/>
      <c r="T44" s="135" t="n"/>
      <c r="U44" s="135" t="n"/>
      <c r="V44" s="1">
        <f>T44-U44-W44</f>
        <v/>
      </c>
      <c r="W44" s="135" t="n"/>
      <c r="X44" s="136" t="n"/>
    </row>
    <row r="45">
      <c r="B45" s="133" t="inlineStr">
        <is>
          <t>1</t>
        </is>
      </c>
      <c r="C45" s="133" t="inlineStr">
        <is>
          <t>2</t>
        </is>
      </c>
      <c r="D45" s="43" t="inlineStr">
        <is>
          <t>HP-SUP-2026-032</t>
        </is>
      </c>
      <c r="E45" s="122" t="n"/>
      <c r="F45" s="45" t="inlineStr">
        <is>
          <t>AA건전지 (2개입)</t>
        </is>
      </c>
      <c r="G45" s="111" t="n"/>
      <c r="H45" s="135" t="n">
        <v>2</v>
      </c>
      <c r="I45" s="135" t="n">
        <v>0</v>
      </c>
      <c r="J45" s="135">
        <f>H45-I45</f>
        <v/>
      </c>
      <c r="K45" s="135" t="n"/>
      <c r="L45" s="136" t="n"/>
      <c r="N45" s="133" t="inlineStr">
        <is>
          <t>1</t>
        </is>
      </c>
      <c r="O45" s="133" t="inlineStr">
        <is>
          <t>2</t>
        </is>
      </c>
      <c r="P45" s="139" t="inlineStr">
        <is>
          <t>HP-PRT-2026-032</t>
        </is>
      </c>
      <c r="Q45" s="111" t="n"/>
      <c r="R45" s="139" t="n"/>
      <c r="S45" s="111" t="n"/>
      <c r="T45" s="135" t="n"/>
      <c r="U45" s="135" t="n"/>
      <c r="V45" s="1">
        <f>T45-U45-W45</f>
        <v/>
      </c>
      <c r="W45" s="135" t="n"/>
      <c r="X45" s="136" t="n"/>
    </row>
    <row r="46">
      <c r="B46" s="133" t="inlineStr">
        <is>
          <t>1</t>
        </is>
      </c>
      <c r="C46" s="133" t="inlineStr">
        <is>
          <t>2</t>
        </is>
      </c>
      <c r="D46" s="43" t="inlineStr">
        <is>
          <t>HP-SUP-2026-033</t>
        </is>
      </c>
      <c r="E46" s="122" t="n"/>
      <c r="F46" s="45" t="inlineStr">
        <is>
          <t>A4 100g</t>
        </is>
      </c>
      <c r="G46" s="111" t="n"/>
      <c r="H46" s="134" t="n">
        <v>3</v>
      </c>
      <c r="I46" s="134" t="n">
        <v>1</v>
      </c>
      <c r="J46" s="134">
        <f>H46-I46</f>
        <v/>
      </c>
      <c r="K46" s="135" t="n"/>
      <c r="L46" s="136" t="n"/>
      <c r="N46" s="133" t="inlineStr">
        <is>
          <t>1</t>
        </is>
      </c>
      <c r="O46" s="133" t="inlineStr">
        <is>
          <t>2</t>
        </is>
      </c>
      <c r="P46" s="139" t="inlineStr">
        <is>
          <t>HP-PRT-2026-033</t>
        </is>
      </c>
      <c r="Q46" s="111" t="n"/>
      <c r="R46" s="139" t="n"/>
      <c r="S46" s="111" t="n"/>
      <c r="T46" s="135" t="n"/>
      <c r="U46" s="135" t="n"/>
      <c r="V46" s="1">
        <f>T46-U46-W46</f>
        <v/>
      </c>
      <c r="W46" s="135" t="n"/>
      <c r="X46" s="136" t="n"/>
    </row>
    <row r="47">
      <c r="B47" s="133" t="inlineStr">
        <is>
          <t>1</t>
        </is>
      </c>
      <c r="C47" s="133" t="inlineStr">
        <is>
          <t>2</t>
        </is>
      </c>
      <c r="D47" s="43" t="inlineStr">
        <is>
          <t>HP-SUP-2026-034</t>
        </is>
      </c>
      <c r="E47" s="122" t="n"/>
      <c r="F47" s="45" t="inlineStr">
        <is>
          <t>A4 85g</t>
        </is>
      </c>
      <c r="G47" s="111" t="n"/>
      <c r="H47" s="134" t="n">
        <v>3</v>
      </c>
      <c r="I47" s="134" t="n">
        <v>0</v>
      </c>
      <c r="J47" s="134">
        <f>H47-I47</f>
        <v/>
      </c>
      <c r="K47" s="135" t="n"/>
      <c r="L47" s="136" t="n"/>
      <c r="N47" s="133" t="inlineStr">
        <is>
          <t>1</t>
        </is>
      </c>
      <c r="O47" s="133" t="inlineStr">
        <is>
          <t>2</t>
        </is>
      </c>
      <c r="P47" s="139" t="inlineStr">
        <is>
          <t>HP-PRT-2026-034</t>
        </is>
      </c>
      <c r="Q47" s="111" t="n"/>
      <c r="R47" s="139" t="n"/>
      <c r="S47" s="111" t="n"/>
      <c r="T47" s="135" t="n"/>
      <c r="U47" s="135" t="n"/>
      <c r="V47" s="1">
        <f>T47-U47-W47</f>
        <v/>
      </c>
      <c r="W47" s="135" t="n"/>
      <c r="X47" s="136" t="n"/>
    </row>
    <row r="48">
      <c r="B48" s="133" t="inlineStr">
        <is>
          <t>1</t>
        </is>
      </c>
      <c r="C48" s="133" t="inlineStr">
        <is>
          <t>2</t>
        </is>
      </c>
      <c r="D48" s="43" t="inlineStr">
        <is>
          <t>HP-SUP-2026-035</t>
        </is>
      </c>
      <c r="E48" s="122" t="n"/>
      <c r="F48" s="45" t="inlineStr">
        <is>
          <t>A4 80g</t>
        </is>
      </c>
      <c r="G48" s="111" t="n"/>
      <c r="H48" s="134" t="n">
        <v>2</v>
      </c>
      <c r="I48" s="134" t="n">
        <v>1</v>
      </c>
      <c r="J48" s="134">
        <f>H48-I48</f>
        <v/>
      </c>
      <c r="K48" s="135" t="n"/>
      <c r="L48" s="136" t="n"/>
      <c r="N48" s="133" t="inlineStr">
        <is>
          <t>1</t>
        </is>
      </c>
      <c r="O48" s="133" t="inlineStr">
        <is>
          <t>2</t>
        </is>
      </c>
      <c r="P48" s="139" t="inlineStr">
        <is>
          <t>HP-PRT-2026-035</t>
        </is>
      </c>
      <c r="Q48" s="111" t="n"/>
      <c r="R48" s="139" t="n"/>
      <c r="S48" s="111" t="n"/>
      <c r="T48" s="135" t="n"/>
      <c r="U48" s="135" t="n"/>
      <c r="V48" s="1">
        <f>T48-U48-W48</f>
        <v/>
      </c>
      <c r="W48" s="135" t="n"/>
      <c r="X48" s="136" t="n"/>
    </row>
    <row r="49">
      <c r="B49" s="133" t="inlineStr">
        <is>
          <t>1</t>
        </is>
      </c>
      <c r="C49" s="133" t="inlineStr">
        <is>
          <t>2</t>
        </is>
      </c>
      <c r="D49" s="43" t="inlineStr">
        <is>
          <t>HP-SUP-2026-036</t>
        </is>
      </c>
      <c r="E49" s="122" t="n"/>
      <c r="F49" s="45" t="inlineStr">
        <is>
          <t>취급주의 종이테이프</t>
        </is>
      </c>
      <c r="G49" s="111" t="n"/>
      <c r="H49" s="135" t="n">
        <v>17</v>
      </c>
      <c r="I49" s="135" t="n">
        <v>1</v>
      </c>
      <c r="J49" s="135">
        <f>H49-I49</f>
        <v/>
      </c>
      <c r="K49" s="135" t="n"/>
      <c r="L49" s="136" t="n"/>
      <c r="N49" s="133" t="inlineStr">
        <is>
          <t>1</t>
        </is>
      </c>
      <c r="O49" s="133" t="inlineStr">
        <is>
          <t>2</t>
        </is>
      </c>
      <c r="P49" s="139" t="inlineStr">
        <is>
          <t>HP-PRT-2026-036</t>
        </is>
      </c>
      <c r="Q49" s="111" t="n"/>
      <c r="R49" s="139" t="n"/>
      <c r="S49" s="111" t="n"/>
      <c r="T49" s="135" t="n"/>
      <c r="U49" s="135" t="n"/>
      <c r="V49" s="1">
        <f>T49-U49-W49</f>
        <v/>
      </c>
      <c r="W49" s="135" t="n"/>
      <c r="X49" s="136" t="n"/>
    </row>
    <row r="50">
      <c r="B50" s="133" t="inlineStr">
        <is>
          <t>1</t>
        </is>
      </c>
      <c r="C50" s="133" t="inlineStr">
        <is>
          <t>2</t>
        </is>
      </c>
      <c r="D50" s="43" t="inlineStr">
        <is>
          <t>HP-SUP-2026-037</t>
        </is>
      </c>
      <c r="E50" s="122" t="n"/>
      <c r="F50" s="45" t="inlineStr">
        <is>
          <t>무지 종이테이프</t>
        </is>
      </c>
      <c r="G50" s="111" t="n"/>
      <c r="H50" s="135" t="n">
        <v>19</v>
      </c>
      <c r="I50" s="135" t="n">
        <v>0</v>
      </c>
      <c r="J50" s="135">
        <f>H50-I50</f>
        <v/>
      </c>
      <c r="K50" s="135" t="n"/>
      <c r="L50" s="136" t="n"/>
      <c r="N50" s="133" t="inlineStr">
        <is>
          <t>1</t>
        </is>
      </c>
      <c r="O50" s="133" t="inlineStr">
        <is>
          <t>2</t>
        </is>
      </c>
      <c r="P50" s="139" t="inlineStr">
        <is>
          <t>HP-PRT-2026-037</t>
        </is>
      </c>
      <c r="Q50" s="111" t="n"/>
      <c r="R50" s="139" t="n"/>
      <c r="S50" s="111" t="n"/>
      <c r="T50" s="135" t="n"/>
      <c r="U50" s="135" t="n"/>
      <c r="V50" s="1">
        <f>T50-U50-W50</f>
        <v/>
      </c>
      <c r="W50" s="135" t="n"/>
      <c r="X50" s="136" t="n"/>
    </row>
    <row r="51">
      <c r="A51" s="48" t="n"/>
      <c r="B51" s="144" t="inlineStr">
        <is>
          <t>1</t>
        </is>
      </c>
      <c r="C51" s="144" t="inlineStr">
        <is>
          <t>2</t>
        </is>
      </c>
      <c r="D51" s="41" t="inlineStr">
        <is>
          <t>HP-SUP-2025-002</t>
        </is>
      </c>
      <c r="E51" s="122" t="n"/>
      <c r="F51" s="42" t="inlineStr">
        <is>
          <t>캐논레이저포인트BK</t>
        </is>
      </c>
      <c r="G51" s="111" t="n"/>
      <c r="H51" s="145" t="n">
        <v>6</v>
      </c>
      <c r="I51" s="145" t="n">
        <v>0</v>
      </c>
      <c r="J51" s="146">
        <f>H51-I51</f>
        <v/>
      </c>
      <c r="K51" s="146" t="n"/>
      <c r="L51" s="147" t="n"/>
      <c r="N51" s="133" t="inlineStr">
        <is>
          <t>1</t>
        </is>
      </c>
      <c r="O51" s="133" t="inlineStr">
        <is>
          <t>2</t>
        </is>
      </c>
      <c r="P51" s="139" t="inlineStr">
        <is>
          <t>HP-PRT-2026-038</t>
        </is>
      </c>
      <c r="Q51" s="111" t="n"/>
      <c r="R51" s="139" t="n"/>
      <c r="S51" s="111" t="n"/>
      <c r="T51" s="135" t="n"/>
      <c r="U51" s="135" t="n"/>
      <c r="V51" s="1">
        <f>T51-U51-W51</f>
        <v/>
      </c>
      <c r="W51" s="135" t="n"/>
      <c r="X51" s="136" t="n"/>
    </row>
    <row r="52">
      <c r="A52" s="48" t="n"/>
      <c r="B52" s="144" t="inlineStr">
        <is>
          <t>1</t>
        </is>
      </c>
      <c r="C52" s="144" t="inlineStr">
        <is>
          <t>2</t>
        </is>
      </c>
      <c r="D52" s="41" t="inlineStr">
        <is>
          <t>HP-SUP-2025-002</t>
        </is>
      </c>
      <c r="E52" s="122" t="n"/>
      <c r="F52" s="42" t="inlineStr">
        <is>
          <t>캐논레이저포인트BL</t>
        </is>
      </c>
      <c r="G52" s="111" t="n"/>
      <c r="H52" s="145" t="n">
        <v>2</v>
      </c>
      <c r="I52" s="145" t="n">
        <v>0</v>
      </c>
      <c r="J52" s="146">
        <f>H52-I52</f>
        <v/>
      </c>
      <c r="K52" s="146" t="n"/>
      <c r="L52" s="147" t="n"/>
      <c r="N52" s="133" t="inlineStr">
        <is>
          <t>1</t>
        </is>
      </c>
      <c r="O52" s="133" t="inlineStr">
        <is>
          <t>2</t>
        </is>
      </c>
      <c r="P52" s="139" t="inlineStr">
        <is>
          <t>HP-PRT-2026-039</t>
        </is>
      </c>
      <c r="Q52" s="111" t="n"/>
      <c r="R52" s="139" t="n"/>
      <c r="S52" s="111" t="n"/>
      <c r="T52" s="135" t="n"/>
      <c r="U52" s="135" t="n"/>
      <c r="V52" s="1">
        <f>T52-U52-W52</f>
        <v/>
      </c>
      <c r="W52" s="135" t="n"/>
      <c r="X52" s="136" t="n"/>
    </row>
    <row r="53">
      <c r="A53" s="48" t="n"/>
      <c r="B53" s="144" t="inlineStr">
        <is>
          <t>1</t>
        </is>
      </c>
      <c r="C53" s="144" t="inlineStr">
        <is>
          <t>2</t>
        </is>
      </c>
      <c r="D53" s="41" t="inlineStr">
        <is>
          <t>HP-SUP-2025-002</t>
        </is>
      </c>
      <c r="E53" s="122" t="n"/>
      <c r="F53" s="42" t="inlineStr">
        <is>
          <t>캐논레이저포인트YE</t>
        </is>
      </c>
      <c r="G53" s="111" t="n"/>
      <c r="H53" s="145" t="n">
        <v>1</v>
      </c>
      <c r="I53" s="145" t="n">
        <v>0</v>
      </c>
      <c r="J53" s="146">
        <f>H53-I53</f>
        <v/>
      </c>
      <c r="K53" s="146" t="n"/>
      <c r="L53" s="147" t="n"/>
      <c r="N53" s="133" t="inlineStr">
        <is>
          <t>1</t>
        </is>
      </c>
      <c r="O53" s="133" t="inlineStr">
        <is>
          <t>2</t>
        </is>
      </c>
      <c r="P53" s="139" t="inlineStr">
        <is>
          <t>HP-PRT-2026-040</t>
        </is>
      </c>
      <c r="Q53" s="111" t="n"/>
      <c r="R53" s="139" t="n"/>
      <c r="S53" s="111" t="n"/>
      <c r="T53" s="135" t="n"/>
      <c r="U53" s="135" t="n"/>
      <c r="V53" s="1">
        <f>T53-U53-W53</f>
        <v/>
      </c>
      <c r="W53" s="135" t="n"/>
      <c r="X53" s="136" t="n"/>
    </row>
    <row r="54">
      <c r="A54" s="48" t="n"/>
      <c r="B54" s="144" t="inlineStr">
        <is>
          <t>1</t>
        </is>
      </c>
      <c r="C54" s="144" t="inlineStr">
        <is>
          <t>2</t>
        </is>
      </c>
      <c r="D54" s="41" t="inlineStr">
        <is>
          <t>HP-SUP-2025-002</t>
        </is>
      </c>
      <c r="E54" s="122" t="n"/>
      <c r="F54" s="42" t="inlineStr">
        <is>
          <t>캐논레이저포인트PK</t>
        </is>
      </c>
      <c r="G54" s="111" t="n"/>
      <c r="H54" s="145" t="n">
        <v>2</v>
      </c>
      <c r="I54" s="145" t="n">
        <v>0</v>
      </c>
      <c r="J54" s="146">
        <f>H54-I54</f>
        <v/>
      </c>
      <c r="K54" s="146" t="n"/>
      <c r="L54" s="147" t="n"/>
      <c r="N54" s="133" t="inlineStr">
        <is>
          <t>1</t>
        </is>
      </c>
      <c r="O54" s="133" t="inlineStr">
        <is>
          <t>2</t>
        </is>
      </c>
      <c r="P54" s="139" t="inlineStr">
        <is>
          <t>HP-PRT-2026-041</t>
        </is>
      </c>
      <c r="Q54" s="111" t="n"/>
      <c r="R54" s="139" t="n"/>
      <c r="S54" s="111" t="n"/>
      <c r="T54" s="135" t="n"/>
      <c r="U54" s="135" t="n"/>
      <c r="V54" s="1">
        <f>T54-U54-W54</f>
        <v/>
      </c>
      <c r="W54" s="135" t="n"/>
      <c r="X54" s="136" t="n"/>
    </row>
    <row r="55">
      <c r="B55" s="133" t="inlineStr">
        <is>
          <t>1</t>
        </is>
      </c>
      <c r="C55" s="133" t="inlineStr">
        <is>
          <t>2</t>
        </is>
      </c>
      <c r="D55" s="43" t="inlineStr">
        <is>
          <t>HP-SUP-2026-038</t>
        </is>
      </c>
      <c r="E55" s="122" t="n"/>
      <c r="F55" s="45" t="inlineStr">
        <is>
          <t>투명 파일철</t>
        </is>
      </c>
      <c r="G55" s="111" t="n"/>
      <c r="H55" s="135" t="n">
        <v>120</v>
      </c>
      <c r="I55" s="135" t="n">
        <v>0</v>
      </c>
      <c r="J55" s="135">
        <f>H55-I55</f>
        <v/>
      </c>
      <c r="K55" s="135" t="n"/>
      <c r="L55" s="136" t="n"/>
      <c r="N55" s="133" t="inlineStr">
        <is>
          <t>1</t>
        </is>
      </c>
      <c r="O55" s="133" t="inlineStr">
        <is>
          <t>2</t>
        </is>
      </c>
      <c r="P55" s="139" t="inlineStr">
        <is>
          <t>HP-PRT-2026-042</t>
        </is>
      </c>
      <c r="Q55" s="111" t="n"/>
      <c r="R55" s="139" t="n"/>
      <c r="S55" s="111" t="n"/>
      <c r="T55" s="135" t="n"/>
      <c r="U55" s="135" t="n"/>
      <c r="V55" s="1">
        <f>T55-U55-W55</f>
        <v/>
      </c>
      <c r="W55" s="135" t="n"/>
      <c r="X55" s="136" t="n"/>
    </row>
    <row r="56">
      <c r="B56" s="133" t="inlineStr">
        <is>
          <t>1</t>
        </is>
      </c>
      <c r="C56" s="133" t="inlineStr">
        <is>
          <t>2</t>
        </is>
      </c>
      <c r="D56" s="43" t="inlineStr">
        <is>
          <t>HP-SUP-2026-039</t>
        </is>
      </c>
      <c r="E56" s="122" t="n"/>
      <c r="F56" s="45" t="inlineStr">
        <is>
          <t>화장실용 물티슈</t>
        </is>
      </c>
      <c r="G56" s="111" t="n"/>
      <c r="H56" s="135" t="n">
        <v>19</v>
      </c>
      <c r="I56" s="135" t="n">
        <v>1</v>
      </c>
      <c r="J56" s="135">
        <f>H56-I56</f>
        <v/>
      </c>
      <c r="K56" s="135" t="n"/>
      <c r="L56" s="136" t="n"/>
      <c r="N56" s="133" t="inlineStr">
        <is>
          <t>1</t>
        </is>
      </c>
      <c r="O56" s="133" t="inlineStr">
        <is>
          <t>2</t>
        </is>
      </c>
      <c r="P56" s="139" t="inlineStr">
        <is>
          <t>HP-PRT-2026-043</t>
        </is>
      </c>
      <c r="Q56" s="111" t="n"/>
      <c r="R56" s="139" t="n"/>
      <c r="S56" s="111" t="n"/>
      <c r="T56" s="135" t="n"/>
      <c r="U56" s="135" t="n"/>
      <c r="V56" s="1">
        <f>T56-U56-W56</f>
        <v/>
      </c>
      <c r="W56" s="135" t="n"/>
      <c r="X56" s="136" t="n"/>
    </row>
    <row r="57">
      <c r="B57" s="133" t="inlineStr">
        <is>
          <t>1</t>
        </is>
      </c>
      <c r="C57" s="133" t="inlineStr">
        <is>
          <t>2</t>
        </is>
      </c>
      <c r="D57" s="43" t="inlineStr">
        <is>
          <t>HP-SUP-2026-040</t>
        </is>
      </c>
      <c r="E57" s="122" t="n"/>
      <c r="F57" s="148" t="inlineStr">
        <is>
          <t>님봇 시노링크 라벨지 세트</t>
        </is>
      </c>
      <c r="G57" s="111" t="n"/>
      <c r="H57" s="135" t="n">
        <v>2</v>
      </c>
      <c r="I57" s="135" t="n">
        <v>0</v>
      </c>
      <c r="J57" s="135">
        <f>H57-I57</f>
        <v/>
      </c>
      <c r="K57" s="135" t="n"/>
      <c r="L57" s="136" t="n"/>
      <c r="N57" s="133" t="inlineStr">
        <is>
          <t>1</t>
        </is>
      </c>
      <c r="O57" s="133" t="inlineStr">
        <is>
          <t>2</t>
        </is>
      </c>
      <c r="P57" s="139" t="inlineStr">
        <is>
          <t>HP-PRT-2026-044</t>
        </is>
      </c>
      <c r="Q57" s="111" t="n"/>
      <c r="R57" s="139" t="n"/>
      <c r="S57" s="111" t="n"/>
      <c r="T57" s="135" t="n"/>
      <c r="U57" s="135" t="n"/>
      <c r="V57" s="1">
        <f>T57-U57-W57</f>
        <v/>
      </c>
      <c r="W57" s="135" t="n"/>
      <c r="X57" s="136" t="n"/>
    </row>
    <row r="60">
      <c r="B60" s="35" t="n"/>
      <c r="C60" s="109" t="n"/>
      <c r="D60" s="109" t="n"/>
      <c r="E60" s="109" t="n"/>
      <c r="F60" s="109" t="n"/>
      <c r="G60" s="109" t="n"/>
      <c r="H60" s="109" t="n"/>
      <c r="I60" s="109" t="n"/>
      <c r="J60" s="109" t="n"/>
      <c r="K60" s="109" t="n"/>
      <c r="L60" s="109" t="n"/>
    </row>
    <row r="61">
      <c r="B61" s="110" t="n">
        <v>2</v>
      </c>
      <c r="C61" s="111" t="n"/>
      <c r="D61" s="112" t="inlineStr">
        <is>
          <t>2026년 사내 소모품 관리 리스트(1차)</t>
        </is>
      </c>
      <c r="E61" s="113" t="n"/>
      <c r="F61" s="113" t="n"/>
      <c r="G61" s="113" t="n"/>
      <c r="H61" s="113" t="n"/>
      <c r="I61" s="113" t="n"/>
      <c r="J61" s="114" t="n"/>
      <c r="K61" s="3" t="inlineStr">
        <is>
          <t>담 당</t>
        </is>
      </c>
      <c r="L61" s="3" t="inlineStr">
        <is>
          <t>대표이사</t>
        </is>
      </c>
    </row>
    <row r="62">
      <c r="B62" s="59" t="inlineStr">
        <is>
          <t>작성일</t>
        </is>
      </c>
      <c r="C62" s="111" t="n"/>
      <c r="D62" s="115" t="n"/>
      <c r="J62" s="116" t="n"/>
      <c r="K62" s="117" t="n"/>
      <c r="L62" s="117" t="n"/>
    </row>
    <row r="63">
      <c r="B63" s="63">
        <f>TODAY()</f>
        <v/>
      </c>
      <c r="C63" s="111" t="n"/>
      <c r="D63" s="115" t="n"/>
      <c r="J63" s="116" t="n"/>
      <c r="K63" s="118" t="n"/>
      <c r="L63" s="118" t="n"/>
    </row>
    <row r="64">
      <c r="B64" s="65" t="inlineStr">
        <is>
          <t>문서관리번호</t>
        </is>
      </c>
      <c r="C64" s="111" t="n"/>
      <c r="D64" s="115" t="n"/>
      <c r="J64" s="116" t="n"/>
      <c r="K64" s="119" t="n"/>
      <c r="L64" s="119" t="n"/>
    </row>
    <row r="65">
      <c r="B65" s="120" t="n">
        <v>3</v>
      </c>
      <c r="C65" s="111" t="n"/>
      <c r="D65" s="121" t="n"/>
      <c r="E65" s="109" t="n"/>
      <c r="F65" s="109" t="n"/>
      <c r="G65" s="109" t="n"/>
      <c r="H65" s="109" t="n"/>
      <c r="I65" s="109" t="n"/>
      <c r="J65" s="122" t="n"/>
      <c r="K65" s="123" t="n">
        <v>46031</v>
      </c>
      <c r="L65" s="123" t="n"/>
    </row>
    <row r="66">
      <c r="B66" s="68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</row>
    <row r="67" ht="17.25" customHeight="1" s="108" thickBot="1">
      <c r="B67" s="70" t="n"/>
      <c r="C67" s="116" t="n"/>
      <c r="D67" s="124" t="inlineStr">
        <is>
          <t>품  목  (Item)</t>
        </is>
      </c>
      <c r="E67" s="125" t="n"/>
      <c r="F67" s="125" t="n"/>
      <c r="G67" s="126" t="n"/>
      <c r="H67" s="124" t="inlineStr">
        <is>
          <t>단  위  (Unit)</t>
        </is>
      </c>
      <c r="I67" s="126" t="n"/>
      <c r="J67" s="8" t="n"/>
      <c r="K67" s="10" t="inlineStr">
        <is>
          <t>조사 주기</t>
        </is>
      </c>
      <c r="L67" s="11" t="inlineStr">
        <is>
          <t>1Month</t>
        </is>
      </c>
    </row>
    <row r="68" ht="17.25" customHeight="1" s="108" thickTop="1">
      <c r="C68" s="116" t="n"/>
      <c r="D68" s="127" t="inlineStr">
        <is>
          <t>사내 소모품(SUP)</t>
        </is>
      </c>
      <c r="E68" s="128" t="n"/>
      <c r="F68" s="128" t="n"/>
      <c r="G68" s="129" t="n"/>
      <c r="H68" s="127" t="inlineStr">
        <is>
          <t>EA, BOX</t>
        </is>
      </c>
      <c r="I68" s="129" t="n"/>
      <c r="J68" s="4" t="n"/>
      <c r="K68" s="10" t="inlineStr">
        <is>
          <t>조사 년월</t>
        </is>
      </c>
      <c r="L68" s="130" t="n">
        <v>46023</v>
      </c>
    </row>
    <row r="69">
      <c r="C69" s="116" t="n"/>
      <c r="D69" s="121" t="n"/>
      <c r="E69" s="109" t="n"/>
      <c r="F69" s="109" t="n"/>
      <c r="G69" s="122" t="n"/>
      <c r="H69" s="121" t="n"/>
      <c r="I69" s="122" t="n"/>
      <c r="J69" s="4" t="n"/>
      <c r="K69" s="131" t="inlineStr">
        <is>
          <t>조사 담당</t>
        </is>
      </c>
      <c r="L69" s="130" t="inlineStr">
        <is>
          <t>이창우</t>
        </is>
      </c>
    </row>
    <row r="70">
      <c r="B70" s="35" t="n"/>
      <c r="C70" s="109" t="n"/>
      <c r="D70" s="109" t="n"/>
      <c r="E70" s="109" t="n"/>
      <c r="F70" s="109" t="n"/>
      <c r="G70" s="109" t="n"/>
      <c r="H70" s="109" t="n"/>
      <c r="I70" s="109" t="n"/>
      <c r="J70" s="109" t="n"/>
      <c r="K70" s="109" t="n"/>
      <c r="L70" s="109" t="n"/>
    </row>
    <row r="71" ht="19.15" customHeight="1" s="108">
      <c r="B71" s="39" t="inlineStr">
        <is>
          <t>월</t>
        </is>
      </c>
      <c r="C71" s="40" t="inlineStr">
        <is>
          <t>일</t>
        </is>
      </c>
      <c r="D71" s="5" t="inlineStr">
        <is>
          <t>관리 번호</t>
        </is>
      </c>
      <c r="E71" s="114" t="n"/>
      <c r="F71" s="5" t="inlineStr">
        <is>
          <t>소모품 이름</t>
        </is>
      </c>
      <c r="G71" s="114" t="n"/>
      <c r="H71" s="5" t="inlineStr">
        <is>
          <t>입고 수량</t>
        </is>
      </c>
      <c r="I71" s="5" t="inlineStr">
        <is>
          <t>출고 수량</t>
        </is>
      </c>
      <c r="J71" s="5" t="inlineStr">
        <is>
          <t>현재 수량</t>
        </is>
      </c>
      <c r="K71" s="36" t="inlineStr">
        <is>
          <t>파기 여부 (개수)</t>
        </is>
      </c>
      <c r="L71" s="111" t="n"/>
    </row>
    <row r="72" ht="17.25" customHeight="1" s="108" thickBot="1">
      <c r="B72" s="15" t="inlineStr">
        <is>
          <t>(DATE)</t>
        </is>
      </c>
      <c r="C72" s="132" t="n"/>
      <c r="D72" s="15" t="inlineStr">
        <is>
          <t>(Management No.)</t>
        </is>
      </c>
      <c r="E72" s="132" t="n"/>
      <c r="F72" s="15" t="inlineStr">
        <is>
          <t>(Sub-name)</t>
        </is>
      </c>
      <c r="G72" s="132" t="n"/>
      <c r="H72" s="14" t="inlineStr">
        <is>
          <t>(Received Quantity)</t>
        </is>
      </c>
      <c r="I72" s="15" t="inlineStr">
        <is>
          <t>(Issued Quantity)</t>
        </is>
      </c>
      <c r="J72" s="15" t="inlineStr">
        <is>
          <t>(Current Quantity)</t>
        </is>
      </c>
      <c r="K72" s="9" t="inlineStr">
        <is>
          <t>여</t>
        </is>
      </c>
      <c r="L72" s="9" t="inlineStr">
        <is>
          <t>부</t>
        </is>
      </c>
    </row>
    <row r="73" ht="17.25" customHeight="1" s="108" thickTop="1">
      <c r="B73" s="133" t="inlineStr">
        <is>
          <t>1</t>
        </is>
      </c>
      <c r="C73" s="133" t="inlineStr">
        <is>
          <t>2</t>
        </is>
      </c>
      <c r="D73" s="43" t="inlineStr">
        <is>
          <t>HP-SUP-2026-041</t>
        </is>
      </c>
      <c r="E73" s="122" t="n"/>
      <c r="F73" s="44" t="inlineStr">
        <is>
          <t>곽티슈</t>
        </is>
      </c>
      <c r="G73" s="122" t="n"/>
      <c r="H73" s="135" t="n">
        <v>4</v>
      </c>
      <c r="I73" s="135" t="n">
        <v>1</v>
      </c>
      <c r="J73" s="135" t="n">
        <v>3</v>
      </c>
      <c r="K73" s="135" t="n"/>
      <c r="L73" s="136" t="n"/>
    </row>
    <row r="74">
      <c r="B74" s="133" t="inlineStr">
        <is>
          <t>1</t>
        </is>
      </c>
      <c r="C74" s="133" t="inlineStr">
        <is>
          <t>2</t>
        </is>
      </c>
      <c r="D74" s="43" t="inlineStr">
        <is>
          <t>HP-SUP-2026-042</t>
        </is>
      </c>
      <c r="E74" s="122" t="n"/>
      <c r="F74" s="45" t="inlineStr">
        <is>
          <t>두루마리 휴지</t>
        </is>
      </c>
      <c r="G74" s="111" t="n"/>
      <c r="H74" s="135" t="n">
        <v>30</v>
      </c>
      <c r="I74" s="135" t="n">
        <v>2</v>
      </c>
      <c r="J74" s="135">
        <f>H74-I74</f>
        <v/>
      </c>
      <c r="K74" s="135" t="n"/>
      <c r="L74" s="136" t="n"/>
    </row>
    <row r="75">
      <c r="B75" s="144" t="inlineStr">
        <is>
          <t>1</t>
        </is>
      </c>
      <c r="C75" s="144" t="inlineStr">
        <is>
          <t>2</t>
        </is>
      </c>
      <c r="D75" s="41" t="inlineStr">
        <is>
          <t>HP-SUP-2025-001</t>
        </is>
      </c>
      <c r="E75" s="122" t="n"/>
      <c r="F75" s="42" t="inlineStr">
        <is>
          <t>씰테이프</t>
        </is>
      </c>
      <c r="G75" s="111" t="n"/>
      <c r="H75" s="145" t="n">
        <v>8</v>
      </c>
      <c r="I75" s="145" t="n">
        <v>0</v>
      </c>
      <c r="J75" s="145">
        <f>H75-I75</f>
        <v/>
      </c>
      <c r="K75" s="135" t="n"/>
      <c r="L75" s="136" t="n"/>
    </row>
    <row r="76">
      <c r="B76" s="133" t="inlineStr">
        <is>
          <t>1</t>
        </is>
      </c>
      <c r="C76" s="133" t="inlineStr">
        <is>
          <t>2</t>
        </is>
      </c>
      <c r="D76" s="43" t="inlineStr">
        <is>
          <t>HP-SUP-2026-043</t>
        </is>
      </c>
      <c r="E76" s="122" t="n"/>
      <c r="F76" s="45" t="inlineStr">
        <is>
          <t>가위</t>
        </is>
      </c>
      <c r="G76" s="111" t="n"/>
      <c r="H76" s="135" t="n">
        <v>5</v>
      </c>
      <c r="I76" s="135" t="n">
        <v>3</v>
      </c>
      <c r="J76" s="149">
        <f>H76-I76</f>
        <v/>
      </c>
      <c r="K76" s="135" t="n"/>
      <c r="L76" s="136" t="n"/>
    </row>
    <row r="77">
      <c r="B77" s="133" t="inlineStr">
        <is>
          <t>1</t>
        </is>
      </c>
      <c r="C77" s="133" t="inlineStr">
        <is>
          <t>2</t>
        </is>
      </c>
      <c r="D77" s="43" t="inlineStr">
        <is>
          <t>HP-SUP-2026-044</t>
        </is>
      </c>
      <c r="E77" s="122" t="n"/>
      <c r="F77" s="45" t="inlineStr">
        <is>
          <t>구연산</t>
        </is>
      </c>
      <c r="G77" s="111" t="n"/>
      <c r="H77" s="135" t="n">
        <v>1</v>
      </c>
      <c r="I77" s="135" t="n">
        <v>0</v>
      </c>
      <c r="J77" s="149">
        <f>H77-I77</f>
        <v/>
      </c>
      <c r="K77" s="135" t="n"/>
      <c r="L77" s="136" t="n"/>
    </row>
    <row r="78">
      <c r="B78" s="133" t="inlineStr">
        <is>
          <t>1</t>
        </is>
      </c>
      <c r="C78" s="133" t="inlineStr">
        <is>
          <t>3</t>
        </is>
      </c>
      <c r="D78" s="43" t="inlineStr">
        <is>
          <t>HP-SUP-2026-045</t>
        </is>
      </c>
      <c r="E78" s="122" t="n"/>
      <c r="F78" s="45" t="inlineStr">
        <is>
          <t>백상지(상장종이)</t>
        </is>
      </c>
      <c r="G78" s="111" t="n"/>
      <c r="H78" s="134" t="n">
        <v>2</v>
      </c>
      <c r="I78" s="134" t="n">
        <v>0</v>
      </c>
      <c r="J78" s="134">
        <f>H78-I78</f>
        <v/>
      </c>
      <c r="K78" s="135" t="n"/>
      <c r="L78" s="136" t="n"/>
    </row>
    <row r="79">
      <c r="B79" s="133" t="inlineStr">
        <is>
          <t>1</t>
        </is>
      </c>
      <c r="C79" s="133" t="inlineStr">
        <is>
          <t>7</t>
        </is>
      </c>
      <c r="D79" s="43" t="inlineStr">
        <is>
          <t>HP-SUP-2026-046</t>
        </is>
      </c>
      <c r="E79" s="122" t="n"/>
      <c r="F79" s="45" t="inlineStr">
        <is>
          <t>목장갑</t>
        </is>
      </c>
      <c r="G79" s="111" t="n"/>
      <c r="H79" s="134" t="n">
        <v>3</v>
      </c>
      <c r="I79" s="134" t="n">
        <v>0</v>
      </c>
      <c r="J79" s="134">
        <f>H79-I79</f>
        <v/>
      </c>
      <c r="K79" s="135" t="n"/>
      <c r="L79" s="136" t="n"/>
    </row>
    <row r="80">
      <c r="B80" s="133" t="inlineStr">
        <is>
          <t>1</t>
        </is>
      </c>
      <c r="C80" s="133" t="inlineStr">
        <is>
          <t>7</t>
        </is>
      </c>
      <c r="D80" s="43" t="inlineStr">
        <is>
          <t>HP-SUP-2026-047</t>
        </is>
      </c>
      <c r="E80" s="122" t="n"/>
      <c r="F80" s="45" t="inlineStr">
        <is>
          <t>친환경 물티슈</t>
        </is>
      </c>
      <c r="G80" s="111" t="n"/>
      <c r="H80" s="135" t="n">
        <v>10</v>
      </c>
      <c r="I80" s="135" t="n">
        <v>0</v>
      </c>
      <c r="J80" s="135">
        <f>H80-I80</f>
        <v/>
      </c>
      <c r="K80" s="135" t="n"/>
      <c r="L80" s="136" t="n"/>
    </row>
    <row r="81">
      <c r="B81" s="133" t="n"/>
      <c r="C81" s="133" t="n"/>
      <c r="D81" s="43" t="n"/>
      <c r="E81" s="122" t="n"/>
      <c r="F81" s="84" t="n"/>
      <c r="G81" s="111" t="n"/>
      <c r="H81" s="135" t="n"/>
      <c r="I81" s="135" t="n"/>
      <c r="J81" s="1" t="n"/>
      <c r="K81" s="135" t="n"/>
      <c r="L81" s="136" t="n"/>
    </row>
    <row r="82">
      <c r="B82" s="133" t="n"/>
      <c r="C82" s="133" t="n"/>
      <c r="D82" s="43" t="n"/>
      <c r="E82" s="122" t="n"/>
      <c r="F82" s="84" t="n"/>
      <c r="G82" s="111" t="n"/>
      <c r="H82" s="135" t="n"/>
      <c r="I82" s="135" t="n"/>
      <c r="J82" s="1" t="n"/>
      <c r="K82" s="135" t="n"/>
      <c r="L82" s="136" t="n"/>
    </row>
    <row r="83">
      <c r="B83" s="133" t="n"/>
      <c r="C83" s="133" t="n"/>
      <c r="D83" s="43" t="n"/>
      <c r="E83" s="122" t="n"/>
      <c r="F83" s="84" t="n"/>
      <c r="G83" s="111" t="n"/>
      <c r="H83" s="135" t="n"/>
      <c r="I83" s="135" t="n"/>
      <c r="J83" s="1" t="n"/>
      <c r="K83" s="135" t="n"/>
      <c r="L83" s="136" t="n"/>
    </row>
    <row r="84">
      <c r="B84" s="133" t="n"/>
      <c r="C84" s="133" t="n"/>
      <c r="D84" s="43" t="n"/>
      <c r="E84" s="122" t="n"/>
      <c r="F84" s="84" t="n"/>
      <c r="G84" s="111" t="n"/>
      <c r="H84" s="135" t="n"/>
      <c r="I84" s="135" t="n"/>
      <c r="J84" s="1" t="n"/>
      <c r="K84" s="135" t="n"/>
      <c r="L84" s="136" t="n"/>
    </row>
    <row r="85">
      <c r="B85" s="133" t="n"/>
      <c r="C85" s="133" t="n"/>
      <c r="D85" s="43" t="n"/>
      <c r="E85" s="122" t="n"/>
      <c r="F85" s="84" t="n"/>
      <c r="G85" s="111" t="n"/>
      <c r="H85" s="135" t="n"/>
      <c r="I85" s="135" t="n"/>
      <c r="J85" s="1" t="n"/>
      <c r="K85" s="135" t="n"/>
      <c r="L85" s="136" t="n"/>
    </row>
    <row r="86">
      <c r="B86" s="133" t="n"/>
      <c r="C86" s="133" t="n"/>
      <c r="D86" s="43" t="n"/>
      <c r="E86" s="122" t="n"/>
      <c r="F86" s="84" t="n"/>
      <c r="G86" s="111" t="n"/>
      <c r="H86" s="135" t="n"/>
      <c r="I86" s="135" t="n"/>
      <c r="J86" s="1" t="n"/>
      <c r="K86" s="135" t="n"/>
      <c r="L86" s="136" t="n"/>
    </row>
    <row r="87">
      <c r="B87" s="133" t="n"/>
      <c r="C87" s="133" t="n"/>
      <c r="D87" s="43" t="n"/>
      <c r="E87" s="122" t="n"/>
      <c r="F87" s="84" t="n"/>
      <c r="G87" s="111" t="n"/>
      <c r="H87" s="135" t="n"/>
      <c r="I87" s="135" t="n"/>
      <c r="J87" s="1" t="n"/>
      <c r="K87" s="135" t="n"/>
      <c r="L87" s="136" t="n"/>
    </row>
    <row r="88">
      <c r="B88" s="133" t="n"/>
      <c r="C88" s="133" t="n"/>
      <c r="D88" s="43" t="n"/>
      <c r="E88" s="122" t="n"/>
      <c r="F88" s="84" t="n"/>
      <c r="G88" s="111" t="n"/>
      <c r="H88" s="135" t="n"/>
      <c r="I88" s="135" t="n"/>
      <c r="J88" s="1" t="n"/>
      <c r="K88" s="135" t="n"/>
      <c r="L88" s="136" t="n"/>
    </row>
    <row r="89">
      <c r="B89" s="133" t="n"/>
      <c r="C89" s="133" t="n"/>
      <c r="D89" s="43" t="n"/>
      <c r="E89" s="122" t="n"/>
      <c r="F89" s="84" t="n"/>
      <c r="G89" s="111" t="n"/>
      <c r="H89" s="135" t="n"/>
      <c r="I89" s="135" t="n"/>
      <c r="J89" s="1" t="n"/>
      <c r="K89" s="135" t="n"/>
      <c r="L89" s="136" t="n"/>
    </row>
    <row r="90">
      <c r="B90" s="133" t="n"/>
      <c r="C90" s="133" t="n"/>
      <c r="D90" s="43" t="n"/>
      <c r="E90" s="122" t="n"/>
      <c r="F90" s="84" t="n"/>
      <c r="G90" s="111" t="n"/>
      <c r="H90" s="135" t="n"/>
      <c r="I90" s="135" t="n"/>
      <c r="J90" s="1" t="n"/>
      <c r="K90" s="135" t="n"/>
      <c r="L90" s="136" t="n"/>
    </row>
    <row r="91">
      <c r="B91" s="133" t="n"/>
      <c r="C91" s="133" t="n"/>
      <c r="D91" s="43" t="n"/>
      <c r="E91" s="122" t="n"/>
      <c r="F91" s="84" t="n"/>
      <c r="G91" s="111" t="n"/>
      <c r="H91" s="135" t="n"/>
      <c r="I91" s="135" t="n"/>
      <c r="J91" s="1" t="n"/>
      <c r="K91" s="135" t="n"/>
      <c r="L91" s="136" t="n"/>
    </row>
    <row r="92">
      <c r="B92" s="133" t="n"/>
      <c r="C92" s="133" t="n"/>
      <c r="D92" s="43" t="n"/>
      <c r="E92" s="122" t="n"/>
      <c r="F92" s="84" t="n"/>
      <c r="G92" s="111" t="n"/>
      <c r="H92" s="135" t="n"/>
      <c r="I92" s="135" t="n"/>
      <c r="J92" s="1" t="n"/>
      <c r="K92" s="135" t="n"/>
      <c r="L92" s="136" t="n"/>
    </row>
    <row r="93">
      <c r="B93" s="133" t="n"/>
      <c r="C93" s="133" t="n"/>
      <c r="D93" s="43" t="n"/>
      <c r="E93" s="122" t="n"/>
      <c r="F93" s="84" t="n"/>
      <c r="G93" s="111" t="n"/>
      <c r="H93" s="135" t="n"/>
      <c r="I93" s="135" t="n"/>
      <c r="J93" s="1" t="n"/>
      <c r="K93" s="135" t="n"/>
      <c r="L93" s="136" t="n"/>
    </row>
    <row r="94">
      <c r="B94" s="140" t="n"/>
      <c r="C94" s="140" t="n"/>
      <c r="D94" s="82" t="n"/>
      <c r="E94" s="111" t="n"/>
      <c r="F94" s="85" t="n"/>
      <c r="G94" s="111" t="n"/>
      <c r="H94" s="141" t="n"/>
      <c r="I94" s="141" t="n"/>
      <c r="J94" s="29" t="n"/>
      <c r="K94" s="142" t="n"/>
      <c r="L94" s="143" t="n"/>
    </row>
    <row r="95">
      <c r="B95" s="133" t="n"/>
      <c r="C95" s="133" t="n"/>
      <c r="D95" s="43" t="n"/>
      <c r="E95" s="122" t="n"/>
      <c r="F95" s="150" t="n"/>
      <c r="G95" s="111" t="n"/>
      <c r="H95" s="135" t="n"/>
      <c r="I95" s="135" t="n"/>
      <c r="J95" s="1" t="n"/>
      <c r="K95" s="135" t="n"/>
      <c r="L95" s="136" t="n"/>
    </row>
    <row r="96">
      <c r="B96" s="133" t="n"/>
      <c r="C96" s="133" t="n"/>
      <c r="D96" s="43" t="n"/>
      <c r="E96" s="122" t="n"/>
      <c r="F96" s="150" t="n"/>
      <c r="G96" s="111" t="n"/>
      <c r="H96" s="135" t="n"/>
      <c r="I96" s="135" t="n"/>
      <c r="J96" s="1" t="n"/>
      <c r="K96" s="135" t="n"/>
      <c r="L96" s="136" t="n"/>
    </row>
    <row r="97">
      <c r="B97" s="133" t="n"/>
      <c r="C97" s="133" t="n"/>
      <c r="D97" s="43" t="n"/>
      <c r="E97" s="122" t="n"/>
      <c r="F97" s="150" t="n"/>
      <c r="G97" s="111" t="n"/>
      <c r="H97" s="135" t="n"/>
      <c r="I97" s="135" t="n"/>
      <c r="J97" s="1" t="n"/>
      <c r="K97" s="135" t="n"/>
      <c r="L97" s="136" t="n"/>
    </row>
    <row r="98">
      <c r="B98" s="133" t="n"/>
      <c r="C98" s="133" t="n"/>
      <c r="D98" s="43" t="n"/>
      <c r="E98" s="122" t="n"/>
      <c r="F98" s="150" t="n"/>
      <c r="G98" s="111" t="n"/>
      <c r="H98" s="135" t="n"/>
      <c r="I98" s="135" t="n"/>
      <c r="J98" s="1" t="n"/>
      <c r="K98" s="135" t="n"/>
      <c r="L98" s="136" t="n"/>
    </row>
    <row r="99">
      <c r="B99" s="133" t="n"/>
      <c r="C99" s="133" t="n"/>
      <c r="D99" s="43" t="n"/>
      <c r="E99" s="122" t="n"/>
      <c r="F99" s="150" t="n"/>
      <c r="G99" s="111" t="n"/>
      <c r="H99" s="135" t="n"/>
      <c r="I99" s="135" t="n"/>
      <c r="J99" s="1" t="n"/>
      <c r="K99" s="135" t="n"/>
      <c r="L99" s="136" t="n"/>
    </row>
    <row r="100">
      <c r="B100" s="133" t="n"/>
      <c r="C100" s="133" t="n"/>
      <c r="D100" s="43" t="n"/>
      <c r="E100" s="122" t="n"/>
      <c r="F100" s="150" t="n"/>
      <c r="G100" s="111" t="n"/>
      <c r="H100" s="135" t="n"/>
      <c r="I100" s="135" t="n"/>
      <c r="J100" s="1" t="n"/>
      <c r="K100" s="135" t="n"/>
      <c r="L100" s="136" t="n"/>
    </row>
    <row r="101">
      <c r="B101" s="133" t="n"/>
      <c r="C101" s="133" t="n"/>
      <c r="D101" s="43" t="n"/>
      <c r="E101" s="122" t="n"/>
      <c r="F101" s="150" t="n"/>
      <c r="G101" s="111" t="n"/>
      <c r="H101" s="135" t="n"/>
      <c r="I101" s="135" t="n"/>
      <c r="J101" s="1" t="n"/>
      <c r="K101" s="135" t="n"/>
      <c r="L101" s="136" t="n"/>
    </row>
    <row r="102">
      <c r="B102" s="133" t="n"/>
      <c r="C102" s="133" t="n"/>
      <c r="D102" s="43" t="n"/>
      <c r="E102" s="122" t="n"/>
      <c r="F102" s="150" t="n"/>
      <c r="G102" s="111" t="n"/>
      <c r="H102" s="135" t="n"/>
      <c r="I102" s="135" t="n"/>
      <c r="J102" s="1" t="n"/>
      <c r="K102" s="135" t="n"/>
      <c r="L102" s="136" t="n"/>
    </row>
    <row r="103">
      <c r="B103" s="133" t="n"/>
      <c r="C103" s="133" t="n"/>
      <c r="D103" s="43" t="n"/>
      <c r="E103" s="122" t="n"/>
      <c r="F103" s="150" t="n"/>
      <c r="G103" s="111" t="n"/>
      <c r="H103" s="135" t="n"/>
      <c r="I103" s="135" t="n"/>
      <c r="J103" s="1" t="n"/>
      <c r="K103" s="135" t="n"/>
      <c r="L103" s="136" t="n"/>
    </row>
    <row r="104">
      <c r="B104" s="133" t="n"/>
      <c r="C104" s="133" t="n"/>
      <c r="D104" s="43" t="n"/>
      <c r="E104" s="122" t="n"/>
      <c r="F104" s="150" t="n"/>
      <c r="G104" s="111" t="n"/>
      <c r="H104" s="135" t="n"/>
      <c r="I104" s="135" t="n"/>
      <c r="J104" s="1" t="n"/>
      <c r="K104" s="135" t="n"/>
      <c r="L104" s="136" t="n"/>
    </row>
    <row r="105">
      <c r="B105" s="133" t="n"/>
      <c r="C105" s="133" t="n"/>
      <c r="D105" s="43" t="n"/>
      <c r="E105" s="122" t="n"/>
      <c r="F105" s="150" t="n"/>
      <c r="G105" s="111" t="n"/>
      <c r="H105" s="134" t="n"/>
      <c r="I105" s="134" t="n"/>
      <c r="J105" s="1" t="n"/>
      <c r="K105" s="135" t="n"/>
      <c r="L105" s="136" t="n"/>
    </row>
    <row r="106">
      <c r="B106" s="133" t="n"/>
      <c r="C106" s="133" t="n"/>
      <c r="D106" s="43" t="n"/>
      <c r="E106" s="122" t="n"/>
      <c r="F106" s="150" t="n"/>
      <c r="G106" s="111" t="n"/>
      <c r="H106" s="134" t="n"/>
      <c r="I106" s="134" t="n"/>
      <c r="J106" s="1" t="n"/>
      <c r="K106" s="135" t="n"/>
      <c r="L106" s="136" t="n"/>
    </row>
    <row r="107">
      <c r="B107" s="133" t="n"/>
      <c r="C107" s="133" t="n"/>
      <c r="D107" s="43" t="n"/>
      <c r="E107" s="122" t="n"/>
      <c r="F107" s="150" t="n"/>
      <c r="G107" s="111" t="n"/>
      <c r="H107" s="134" t="n"/>
      <c r="I107" s="134" t="n"/>
      <c r="J107" s="1" t="n"/>
      <c r="K107" s="135" t="n"/>
      <c r="L107" s="136" t="n"/>
    </row>
    <row r="108">
      <c r="B108" s="133" t="n"/>
      <c r="C108" s="133" t="n"/>
      <c r="D108" s="43" t="n"/>
      <c r="E108" s="122" t="n"/>
      <c r="F108" s="150" t="n"/>
      <c r="G108" s="111" t="n"/>
      <c r="H108" s="135" t="n"/>
      <c r="I108" s="135" t="n"/>
      <c r="J108" s="1" t="n"/>
      <c r="K108" s="135" t="n"/>
      <c r="L108" s="136" t="n"/>
    </row>
    <row r="109">
      <c r="B109" s="133" t="n"/>
      <c r="C109" s="133" t="n"/>
      <c r="D109" s="43" t="n"/>
      <c r="E109" s="122" t="n"/>
      <c r="F109" s="150" t="n"/>
      <c r="G109" s="111" t="n"/>
      <c r="H109" s="135" t="n"/>
      <c r="I109" s="135" t="n"/>
      <c r="J109" s="1" t="n"/>
      <c r="K109" s="135" t="n"/>
      <c r="L109" s="136" t="n"/>
    </row>
    <row r="110">
      <c r="A110" s="48" t="n"/>
      <c r="B110" s="151" t="n"/>
      <c r="C110" s="151" t="n"/>
      <c r="D110" s="88" t="n"/>
      <c r="E110" s="122" t="n"/>
      <c r="F110" s="89" t="n"/>
      <c r="G110" s="111" t="n"/>
      <c r="H110" s="152" t="n"/>
      <c r="I110" s="152" t="n"/>
      <c r="J110" s="23" t="n"/>
      <c r="K110" s="152" t="n"/>
      <c r="L110" s="153" t="n"/>
    </row>
    <row r="111">
      <c r="A111" s="48" t="n"/>
      <c r="B111" s="151" t="n"/>
      <c r="C111" s="151" t="n"/>
      <c r="D111" s="88" t="n"/>
      <c r="E111" s="122" t="n"/>
      <c r="F111" s="89" t="n"/>
      <c r="G111" s="111" t="n"/>
      <c r="H111" s="152" t="n"/>
      <c r="I111" s="152" t="n"/>
      <c r="J111" s="23" t="n"/>
      <c r="K111" s="152" t="n"/>
      <c r="L111" s="153" t="n"/>
    </row>
    <row r="112">
      <c r="A112" s="48" t="n"/>
      <c r="B112" s="151" t="n"/>
      <c r="C112" s="151" t="n"/>
      <c r="D112" s="88" t="n"/>
      <c r="E112" s="122" t="n"/>
      <c r="F112" s="89" t="n"/>
      <c r="G112" s="111" t="n"/>
      <c r="H112" s="152" t="n"/>
      <c r="I112" s="152" t="n"/>
      <c r="J112" s="23" t="n"/>
      <c r="K112" s="152" t="n"/>
      <c r="L112" s="153" t="n"/>
    </row>
    <row r="113">
      <c r="A113" s="48" t="n"/>
      <c r="B113" s="151" t="n"/>
      <c r="C113" s="151" t="n"/>
      <c r="D113" s="88" t="n"/>
      <c r="E113" s="122" t="n"/>
      <c r="F113" s="89" t="n"/>
      <c r="G113" s="111" t="n"/>
      <c r="H113" s="152" t="n"/>
      <c r="I113" s="152" t="n"/>
      <c r="J113" s="23" t="n"/>
      <c r="K113" s="152" t="n"/>
      <c r="L113" s="153" t="n"/>
    </row>
    <row r="114">
      <c r="B114" s="133" t="n"/>
      <c r="C114" s="133" t="n"/>
      <c r="D114" s="43" t="n"/>
      <c r="E114" s="122" t="n"/>
      <c r="F114" s="154" t="n"/>
      <c r="G114" s="111" t="n"/>
      <c r="H114" s="135" t="n"/>
      <c r="I114" s="135" t="n"/>
      <c r="J114" s="1" t="n"/>
      <c r="K114" s="135" t="n"/>
      <c r="L114" s="136" t="n"/>
    </row>
  </sheetData>
  <mergeCells count="326">
    <mergeCell ref="F16:G16"/>
    <mergeCell ref="F103:G103"/>
    <mergeCell ref="F108:G108"/>
    <mergeCell ref="D45:E45"/>
    <mergeCell ref="D68:G69"/>
    <mergeCell ref="B1:L1"/>
    <mergeCell ref="B13:C13"/>
    <mergeCell ref="R51:S51"/>
    <mergeCell ref="D78:E78"/>
    <mergeCell ref="F23:G23"/>
    <mergeCell ref="D71:E71"/>
    <mergeCell ref="F96:G96"/>
    <mergeCell ref="F71:G71"/>
    <mergeCell ref="D98:E98"/>
    <mergeCell ref="D73:E73"/>
    <mergeCell ref="F98:G98"/>
    <mergeCell ref="P24:Q24"/>
    <mergeCell ref="R18:S18"/>
    <mergeCell ref="P26:Q26"/>
    <mergeCell ref="R19:S19"/>
    <mergeCell ref="B2:C2"/>
    <mergeCell ref="F18:G18"/>
    <mergeCell ref="F45:G45"/>
    <mergeCell ref="F42:G42"/>
    <mergeCell ref="F17:G17"/>
    <mergeCell ref="D53:E53"/>
    <mergeCell ref="D47:E47"/>
    <mergeCell ref="F109:G109"/>
    <mergeCell ref="F47:G47"/>
    <mergeCell ref="F46:G46"/>
    <mergeCell ref="F111:G111"/>
    <mergeCell ref="P37:Q37"/>
    <mergeCell ref="F48:G48"/>
    <mergeCell ref="D15:E15"/>
    <mergeCell ref="P14:Q14"/>
    <mergeCell ref="R14:S14"/>
    <mergeCell ref="D79:E79"/>
    <mergeCell ref="F73:G73"/>
    <mergeCell ref="D81:E81"/>
    <mergeCell ref="N7:X7"/>
    <mergeCell ref="F114:G114"/>
    <mergeCell ref="P27:Q27"/>
    <mergeCell ref="R27:S27"/>
    <mergeCell ref="R20:S20"/>
    <mergeCell ref="D28:E28"/>
    <mergeCell ref="H68:I69"/>
    <mergeCell ref="R22:S22"/>
    <mergeCell ref="D92:E92"/>
    <mergeCell ref="D55:E55"/>
    <mergeCell ref="D30:E30"/>
    <mergeCell ref="F92:G92"/>
    <mergeCell ref="B5:C5"/>
    <mergeCell ref="D94:E94"/>
    <mergeCell ref="P45:Q45"/>
    <mergeCell ref="F112:G112"/>
    <mergeCell ref="P38:Q38"/>
    <mergeCell ref="R38:S38"/>
    <mergeCell ref="R13:S13"/>
    <mergeCell ref="K3:K5"/>
    <mergeCell ref="P40:Q40"/>
    <mergeCell ref="D21:E21"/>
    <mergeCell ref="R40:S40"/>
    <mergeCell ref="R15:S15"/>
    <mergeCell ref="F51:G51"/>
    <mergeCell ref="D16:E16"/>
    <mergeCell ref="D87:E87"/>
    <mergeCell ref="K12:L12"/>
    <mergeCell ref="F38:G38"/>
    <mergeCell ref="D18:E18"/>
    <mergeCell ref="D82:E82"/>
    <mergeCell ref="F82:G82"/>
    <mergeCell ref="H8:I8"/>
    <mergeCell ref="T9:U10"/>
    <mergeCell ref="D100:E100"/>
    <mergeCell ref="F29:G29"/>
    <mergeCell ref="D8:G8"/>
    <mergeCell ref="P9:S10"/>
    <mergeCell ref="R28:S28"/>
    <mergeCell ref="D31:E31"/>
    <mergeCell ref="D77:E77"/>
    <mergeCell ref="N3:O3"/>
    <mergeCell ref="D108:E108"/>
    <mergeCell ref="R30:S30"/>
    <mergeCell ref="P46:Q46"/>
    <mergeCell ref="N5:O5"/>
    <mergeCell ref="R12:S12"/>
    <mergeCell ref="P48:Q48"/>
    <mergeCell ref="D72:E72"/>
    <mergeCell ref="D9:G10"/>
    <mergeCell ref="F72:G72"/>
    <mergeCell ref="R54:S54"/>
    <mergeCell ref="R41:S41"/>
    <mergeCell ref="R56:S56"/>
    <mergeCell ref="P43:Q43"/>
    <mergeCell ref="D24:E24"/>
    <mergeCell ref="R43:S43"/>
    <mergeCell ref="D113:E113"/>
    <mergeCell ref="B63:C63"/>
    <mergeCell ref="D88:E88"/>
    <mergeCell ref="D26:E26"/>
    <mergeCell ref="F88:G88"/>
    <mergeCell ref="F54:G54"/>
    <mergeCell ref="D19:E19"/>
    <mergeCell ref="D90:E90"/>
    <mergeCell ref="F19:G19"/>
    <mergeCell ref="P34:Q34"/>
    <mergeCell ref="F83:G83"/>
    <mergeCell ref="R34:S34"/>
    <mergeCell ref="R25:S25"/>
    <mergeCell ref="F20:G20"/>
    <mergeCell ref="P36:Q36"/>
    <mergeCell ref="F85:G85"/>
    <mergeCell ref="B67:C69"/>
    <mergeCell ref="R36:S36"/>
    <mergeCell ref="D103:E103"/>
    <mergeCell ref="D37:E37"/>
    <mergeCell ref="N6:O6"/>
    <mergeCell ref="D38:E38"/>
    <mergeCell ref="W3:W5"/>
    <mergeCell ref="P2:V6"/>
    <mergeCell ref="N4:O4"/>
    <mergeCell ref="P51:Q51"/>
    <mergeCell ref="B7:L7"/>
    <mergeCell ref="R57:S57"/>
    <mergeCell ref="D96:E96"/>
    <mergeCell ref="R49:S49"/>
    <mergeCell ref="D52:E52"/>
    <mergeCell ref="D27:E27"/>
    <mergeCell ref="B60:L60"/>
    <mergeCell ref="D91:E91"/>
    <mergeCell ref="F91:G91"/>
    <mergeCell ref="P17:Q17"/>
    <mergeCell ref="D106:E106"/>
    <mergeCell ref="D93:E93"/>
    <mergeCell ref="F22:G22"/>
    <mergeCell ref="T8:U8"/>
    <mergeCell ref="P19:Q19"/>
    <mergeCell ref="F93:G93"/>
    <mergeCell ref="H9:I10"/>
    <mergeCell ref="L3:L5"/>
    <mergeCell ref="P12:Q12"/>
    <mergeCell ref="R52:S52"/>
    <mergeCell ref="R39:S39"/>
    <mergeCell ref="D109:E109"/>
    <mergeCell ref="D46:E46"/>
    <mergeCell ref="D40:E40"/>
    <mergeCell ref="D111:E111"/>
    <mergeCell ref="F40:G40"/>
    <mergeCell ref="F12:G12"/>
    <mergeCell ref="D104:E104"/>
    <mergeCell ref="F104:G104"/>
    <mergeCell ref="D41:E41"/>
    <mergeCell ref="F41:G41"/>
    <mergeCell ref="R21:S21"/>
    <mergeCell ref="F35:G35"/>
    <mergeCell ref="F106:G106"/>
    <mergeCell ref="D43:E43"/>
    <mergeCell ref="R50:S50"/>
    <mergeCell ref="P8:S8"/>
    <mergeCell ref="L62:L64"/>
    <mergeCell ref="D74:E74"/>
    <mergeCell ref="P20:Q20"/>
    <mergeCell ref="F25:G25"/>
    <mergeCell ref="D36:E36"/>
    <mergeCell ref="P22:Q22"/>
    <mergeCell ref="B61:C61"/>
    <mergeCell ref="D48:E48"/>
    <mergeCell ref="R55:S55"/>
    <mergeCell ref="D112:E112"/>
    <mergeCell ref="P13:Q13"/>
    <mergeCell ref="D56:E56"/>
    <mergeCell ref="F13:G13"/>
    <mergeCell ref="F56:G56"/>
    <mergeCell ref="F105:G105"/>
    <mergeCell ref="D114:E114"/>
    <mergeCell ref="F43:G43"/>
    <mergeCell ref="D2:J6"/>
    <mergeCell ref="B64:C64"/>
    <mergeCell ref="P15:Q15"/>
    <mergeCell ref="D51:E51"/>
    <mergeCell ref="F107:G107"/>
    <mergeCell ref="P33:Q33"/>
    <mergeCell ref="R33:S33"/>
    <mergeCell ref="F57:G57"/>
    <mergeCell ref="P35:Q35"/>
    <mergeCell ref="B3:C3"/>
    <mergeCell ref="B11:L11"/>
    <mergeCell ref="F33:G33"/>
    <mergeCell ref="D75:E75"/>
    <mergeCell ref="F75:G75"/>
    <mergeCell ref="R42:S42"/>
    <mergeCell ref="F31:G31"/>
    <mergeCell ref="P28:Q28"/>
    <mergeCell ref="F28:G28"/>
    <mergeCell ref="D39:E39"/>
    <mergeCell ref="B6:C6"/>
    <mergeCell ref="F39:G39"/>
    <mergeCell ref="P30:Q30"/>
    <mergeCell ref="D89:E89"/>
    <mergeCell ref="R23:S23"/>
    <mergeCell ref="B72:C72"/>
    <mergeCell ref="P41:Q41"/>
    <mergeCell ref="F21:G21"/>
    <mergeCell ref="P56:Q56"/>
    <mergeCell ref="K62:K64"/>
    <mergeCell ref="P49:Q49"/>
    <mergeCell ref="F50:G50"/>
    <mergeCell ref="F110:G110"/>
    <mergeCell ref="D17:E17"/>
    <mergeCell ref="W12:X12"/>
    <mergeCell ref="K71:L71"/>
    <mergeCell ref="D12:E12"/>
    <mergeCell ref="D83:E83"/>
    <mergeCell ref="F49:G49"/>
    <mergeCell ref="D14:E14"/>
    <mergeCell ref="D85:E85"/>
    <mergeCell ref="F14:G14"/>
    <mergeCell ref="P54:Q54"/>
    <mergeCell ref="H67:I67"/>
    <mergeCell ref="P29:Q29"/>
    <mergeCell ref="F78:G78"/>
    <mergeCell ref="R29:S29"/>
    <mergeCell ref="P44:Q44"/>
    <mergeCell ref="D67:G67"/>
    <mergeCell ref="D80:E80"/>
    <mergeCell ref="P31:Q31"/>
    <mergeCell ref="R31:S31"/>
    <mergeCell ref="F55:G55"/>
    <mergeCell ref="R24:S24"/>
    <mergeCell ref="R26:S26"/>
    <mergeCell ref="N8:O10"/>
    <mergeCell ref="P57:Q57"/>
    <mergeCell ref="F52:G52"/>
    <mergeCell ref="F37:G37"/>
    <mergeCell ref="P42:Q42"/>
    <mergeCell ref="F53:G53"/>
    <mergeCell ref="D20:E20"/>
    <mergeCell ref="R44:S44"/>
    <mergeCell ref="N11:X11"/>
    <mergeCell ref="D84:E84"/>
    <mergeCell ref="D22:E22"/>
    <mergeCell ref="F84:G84"/>
    <mergeCell ref="D86:E86"/>
    <mergeCell ref="F15:G15"/>
    <mergeCell ref="F86:G86"/>
    <mergeCell ref="D13:E13"/>
    <mergeCell ref="F80:G80"/>
    <mergeCell ref="F79:G79"/>
    <mergeCell ref="P39:Q39"/>
    <mergeCell ref="N1:X1"/>
    <mergeCell ref="P32:Q32"/>
    <mergeCell ref="F81:G81"/>
    <mergeCell ref="R32:S32"/>
    <mergeCell ref="P47:Q47"/>
    <mergeCell ref="D33:E33"/>
    <mergeCell ref="D35:E35"/>
    <mergeCell ref="D34:E34"/>
    <mergeCell ref="F34:G34"/>
    <mergeCell ref="D99:E99"/>
    <mergeCell ref="P50:Q50"/>
    <mergeCell ref="P25:Q25"/>
    <mergeCell ref="F99:G99"/>
    <mergeCell ref="B66:L66"/>
    <mergeCell ref="F74:G74"/>
    <mergeCell ref="R16:S16"/>
    <mergeCell ref="D101:E101"/>
    <mergeCell ref="F30:G30"/>
    <mergeCell ref="P52:Q52"/>
    <mergeCell ref="D76:E76"/>
    <mergeCell ref="N2:O2"/>
    <mergeCell ref="F76:G76"/>
    <mergeCell ref="F94:G94"/>
    <mergeCell ref="R45:S45"/>
    <mergeCell ref="R47:S47"/>
    <mergeCell ref="N13:O13"/>
    <mergeCell ref="X3:X5"/>
    <mergeCell ref="D29:E29"/>
    <mergeCell ref="D23:E23"/>
    <mergeCell ref="P55:Q55"/>
    <mergeCell ref="F87:G87"/>
    <mergeCell ref="F89:G89"/>
    <mergeCell ref="D105:E105"/>
    <mergeCell ref="B8:C10"/>
    <mergeCell ref="D49:E49"/>
    <mergeCell ref="D107:E107"/>
    <mergeCell ref="F36:G36"/>
    <mergeCell ref="F101:G101"/>
    <mergeCell ref="R35:S35"/>
    <mergeCell ref="F100:G100"/>
    <mergeCell ref="R17:S17"/>
    <mergeCell ref="D102:E102"/>
    <mergeCell ref="P53:Q53"/>
    <mergeCell ref="F102:G102"/>
    <mergeCell ref="R53:S53"/>
    <mergeCell ref="D25:E25"/>
    <mergeCell ref="F77:G77"/>
    <mergeCell ref="R46:S46"/>
    <mergeCell ref="D54:E54"/>
    <mergeCell ref="B4:C4"/>
    <mergeCell ref="R48:S48"/>
    <mergeCell ref="B62:C62"/>
    <mergeCell ref="D95:E95"/>
    <mergeCell ref="F24:G24"/>
    <mergeCell ref="B70:L70"/>
    <mergeCell ref="F95:G95"/>
    <mergeCell ref="P21:Q21"/>
    <mergeCell ref="D57:E57"/>
    <mergeCell ref="F113:G113"/>
    <mergeCell ref="R37:S37"/>
    <mergeCell ref="D32:E32"/>
    <mergeCell ref="F32:G32"/>
    <mergeCell ref="D97:E97"/>
    <mergeCell ref="F26:G26"/>
    <mergeCell ref="F97:G97"/>
    <mergeCell ref="P23:Q23"/>
    <mergeCell ref="F90:G90"/>
    <mergeCell ref="P16:Q16"/>
    <mergeCell ref="F27:G27"/>
    <mergeCell ref="B65:C65"/>
    <mergeCell ref="P18:Q18"/>
    <mergeCell ref="D42:E42"/>
    <mergeCell ref="D61:J65"/>
    <mergeCell ref="D50:E50"/>
    <mergeCell ref="D110:E110"/>
    <mergeCell ref="D44:E44"/>
    <mergeCell ref="F44:G44"/>
  </mergeCells>
  <pageMargins left="0" right="0" top="0.3149606299212598" bottom="0" header="0.3149606299212598" footer="0.3149606299212598"/>
  <pageSetup orientation="portrait" paperSize="9" scale="80" fitToHeight="0"/>
  <headerFooter>
    <oddHeader>&amp;L&amp;D  &amp;T</oddHeader>
    <oddFooter>&amp;LHP-QP-830-05(0)&amp;C주식회사 에이치피엔지니어링&amp;RA4(210X297)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형모 연</dc:creator>
  <dcterms:created xsi:type="dcterms:W3CDTF">2026-01-03T13:46:43Z</dcterms:created>
  <dcterms:modified xsi:type="dcterms:W3CDTF">2026-01-30T03:15:39Z</dcterms:modified>
  <cp:lastModifiedBy>lab rnd</cp:lastModifiedBy>
  <cp:lastPrinted>2026-01-09T00:00:32Z</cp:lastPrinted>
</cp:coreProperties>
</file>