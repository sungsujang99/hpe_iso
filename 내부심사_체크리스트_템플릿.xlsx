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내부심사 체크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mm&quot;/&quot;dd"/>
    <numFmt numFmtId="165" formatCode="_-* #,##0_-;\-* #,##0_-;_-* &quot;-&quot;_-;_-@_-"/>
    <numFmt numFmtId="166" formatCode="yyyy-mm-dd h:mm:ss"/>
    <numFmt numFmtId="167" formatCode="yyyy&quot;년&quot;\ m&quot;월&quot;\ d&quot;일&quot;;@"/>
    <numFmt numFmtId="168" formatCode="[$-F800]dddd\,\ mmmm\ dd\,\ yyyy"/>
  </numFmts>
  <fonts count="6">
    <font>
      <name val="Calibri"/>
      <family val="2"/>
      <color theme="1"/>
      <sz val="11"/>
      <scheme val="minor"/>
    </font>
    <font>
      <name val="맑은 고딕"/>
      <charset val="129"/>
      <family val="3"/>
      <color theme="1"/>
      <sz val="9"/>
    </font>
    <font>
      <name val="맑은 고딕"/>
      <charset val="129"/>
      <family val="3"/>
      <b val="1"/>
      <color theme="1"/>
      <sz val="20"/>
    </font>
    <font>
      <name val="굴림체"/>
      <charset val="129"/>
      <family val="3"/>
      <sz val="11"/>
    </font>
    <font>
      <name val="맑은 고딕"/>
      <charset val="129"/>
      <family val="3"/>
      <color rgb="FFF3F3F3"/>
      <sz val="16"/>
    </font>
    <font>
      <name val="맑은 고딕"/>
      <charset val="129"/>
      <family val="3"/>
      <color theme="1"/>
      <sz val="11"/>
    </font>
  </fonts>
  <fills count="4">
    <fill>
      <patternFill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theme="0" tint="-0.0499893185216834"/>
        <bgColor indexed="64"/>
      </patternFill>
    </fill>
  </fills>
  <borders count="50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 tint="0.0499893185216834"/>
      </left>
      <right style="hair">
        <color rgb="FFA0A0A0"/>
      </right>
      <top style="thin">
        <color theme="1"/>
      </top>
      <bottom style="hair">
        <color rgb="FFA0A0A0"/>
      </bottom>
      <diagonal/>
    </border>
    <border>
      <left/>
      <right/>
      <top style="thin">
        <color theme="1"/>
      </top>
      <bottom style="hair">
        <color rgb="FFA0A0A0"/>
      </bottom>
      <diagonal/>
    </border>
    <border>
      <left/>
      <right style="hair">
        <color rgb="FFA0A0A0"/>
      </right>
      <top style="thin">
        <color theme="1"/>
      </top>
      <bottom style="hair">
        <color rgb="FFA0A0A0"/>
      </bottom>
      <diagonal/>
    </border>
    <border>
      <left style="hair">
        <color rgb="FFA0A0A0"/>
      </left>
      <right style="hair">
        <color rgb="FFA0A0A0"/>
      </right>
      <top style="thin">
        <color theme="1"/>
      </top>
      <bottom style="hair">
        <color rgb="FFA0A0A0"/>
      </bottom>
      <diagonal/>
    </border>
    <border>
      <left style="thin">
        <color theme="1"/>
      </left>
      <right/>
      <top/>
      <bottom/>
      <diagonal/>
    </border>
    <border>
      <left style="thin">
        <color theme="1" tint="0.0499893185216834"/>
      </left>
      <right style="hair">
        <color rgb="FFA0A0A0"/>
      </right>
      <top style="hair">
        <color rgb="FFA0A0A0"/>
      </top>
      <bottom style="hair">
        <color rgb="FFA0A0A0"/>
      </bottom>
      <diagonal/>
    </border>
    <border>
      <left/>
      <right/>
      <top style="hair">
        <color rgb="FFA0A0A0"/>
      </top>
      <bottom/>
      <diagonal/>
    </border>
    <border>
      <left/>
      <right style="hair">
        <color rgb="FFA0A0A0"/>
      </right>
      <top style="hair">
        <color rgb="FFA0A0A0"/>
      </top>
      <bottom/>
      <diagonal/>
    </border>
    <border>
      <left style="hair">
        <color rgb="FFA0A0A0"/>
      </left>
      <right style="hair">
        <color rgb="FFA0A0A0"/>
      </right>
      <top style="hair">
        <color rgb="FFA0A0A0"/>
      </top>
      <bottom style="hair">
        <color rgb="FFA0A0A0"/>
      </bottom>
      <diagonal/>
    </border>
    <border>
      <left style="thin">
        <color theme="1" tint="0.0499893185216834"/>
      </left>
      <right/>
      <top/>
      <bottom style="hair">
        <color rgb="FFA0A0A0"/>
      </bottom>
      <diagonal/>
    </border>
    <border>
      <left/>
      <right/>
      <top/>
      <bottom style="hair">
        <color rgb="FFA0A0A0"/>
      </bottom>
      <diagonal/>
    </border>
    <border>
      <left/>
      <right style="hair">
        <color rgb="FFA0A0A0"/>
      </right>
      <top/>
      <bottom style="hair">
        <color rgb="FFA0A0A0"/>
      </bottom>
      <diagonal/>
    </border>
    <border>
      <left style="hair">
        <color rgb="FFA0A0A0"/>
      </left>
      <right/>
      <top/>
      <bottom style="hair">
        <color rgb="FFA0A0A0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 tint="0.0499893185216834"/>
      </left>
      <right style="hair">
        <color rgb="FFA0A0A0"/>
      </right>
      <top style="hair">
        <color rgb="FFA0A0A0"/>
      </top>
      <bottom style="thin">
        <color theme="1"/>
      </bottom>
      <diagonal/>
    </border>
    <border>
      <left/>
      <right/>
      <top style="hair">
        <color rgb="FFA0A0A0"/>
      </top>
      <bottom style="thin">
        <color theme="1"/>
      </bottom>
      <diagonal/>
    </border>
    <border>
      <left/>
      <right style="hair">
        <color rgb="FFA0A0A0"/>
      </right>
      <top style="hair">
        <color rgb="FFA0A0A0"/>
      </top>
      <bottom style="thin">
        <color theme="1"/>
      </bottom>
      <diagonal/>
    </border>
    <border>
      <left style="hair">
        <color rgb="FFA0A0A0"/>
      </left>
      <right style="hair">
        <color rgb="FFA0A0A0"/>
      </right>
      <top style="hair">
        <color rgb="FFA0A0A0"/>
      </top>
      <bottom style="thin">
        <color theme="1"/>
      </bottom>
      <diagonal/>
    </border>
    <border>
      <left style="thin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/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/>
      <right/>
      <top style="thin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/>
      <right/>
      <top style="hair">
        <color theme="1"/>
      </top>
      <bottom/>
      <diagonal/>
    </border>
    <border>
      <left/>
      <right style="hair">
        <color theme="1"/>
      </right>
      <top style="hair">
        <color theme="1"/>
      </top>
      <bottom/>
      <diagonal/>
    </border>
    <border>
      <left style="thin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/>
      <top/>
      <bottom style="hair">
        <color theme="1"/>
      </bottom>
      <diagonal/>
    </border>
    <border>
      <left/>
      <right/>
      <top/>
      <bottom style="hair">
        <color theme="1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/>
      <right/>
      <top style="hair">
        <color theme="1"/>
      </top>
      <bottom style="thin">
        <color theme="1"/>
      </bottom>
      <diagonal/>
    </border>
    <border>
      <left/>
      <right style="hair">
        <color theme="1"/>
      </right>
      <top style="hair">
        <color theme="1"/>
      </top>
      <bottom style="thin">
        <color theme="1"/>
      </bottom>
      <diagonal/>
    </border>
    <border>
      <left/>
      <right style="hair">
        <color rgb="FFA0A0A0"/>
      </right>
      <top style="thin">
        <color theme="1"/>
      </top>
      <bottom/>
      <diagonal/>
    </border>
    <border>
      <left style="thin">
        <color theme="1" tint="0.0499893185216834"/>
      </left>
      <right/>
      <top/>
      <bottom/>
      <diagonal/>
    </border>
    <border>
      <left/>
      <right style="hair">
        <color rgb="FFA0A0A0"/>
      </right>
      <top/>
      <bottom/>
      <diagonal/>
    </border>
    <border>
      <left style="hair">
        <color theme="1"/>
      </left>
      <right/>
      <top/>
      <bottom/>
      <diagonal/>
    </border>
    <border>
      <left style="hair">
        <color theme="1"/>
      </left>
      <right style="hair">
        <color theme="1"/>
      </right>
      <top/>
      <bottom/>
      <diagonal/>
    </border>
    <border>
      <left/>
      <right style="hair">
        <color theme="1"/>
      </right>
      <top/>
      <bottom/>
      <diagonal/>
    </border>
    <border>
      <left/>
      <right style="hair">
        <color theme="1"/>
      </right>
      <top style="thin">
        <color theme="1"/>
      </top>
      <bottom/>
      <diagonal/>
    </border>
    <border>
      <left style="hair">
        <color rgb="FFA0A0A0"/>
      </left>
      <right/>
      <top/>
      <bottom/>
      <diagonal/>
    </border>
    <border>
      <left style="thin">
        <color theme="1"/>
      </left>
      <right style="hair">
        <color theme="1"/>
      </right>
      <top/>
      <bottom/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1" fillId="2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2" borderId="6" applyAlignment="1" pivotButton="0" quotePrefix="0" xfId="0">
      <alignment horizontal="center" vertical="center"/>
    </xf>
    <xf numFmtId="0" fontId="0" fillId="0" borderId="7" pivotButton="0" quotePrefix="0" xfId="0"/>
    <xf numFmtId="0" fontId="4" fillId="0" borderId="8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1" fillId="0" borderId="11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164" fontId="1" fillId="0" borderId="18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164" fontId="1" fillId="0" borderId="21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23" pivotButton="0" quotePrefix="0" xfId="0"/>
    <xf numFmtId="165" fontId="1" fillId="0" borderId="24" applyAlignment="1" pivotButton="0" quotePrefix="0" xfId="0">
      <alignment horizontal="center" vertical="center"/>
    </xf>
    <xf numFmtId="0" fontId="1" fillId="2" borderId="24" applyAlignment="1" pivotButton="0" quotePrefix="0" xfId="0">
      <alignment horizontal="center" vertical="center"/>
    </xf>
    <xf numFmtId="167" fontId="1" fillId="0" borderId="24" applyAlignment="1" pivotButton="0" quotePrefix="0" xfId="0">
      <alignment horizontal="center" vertical="center"/>
    </xf>
    <xf numFmtId="0" fontId="0" fillId="0" borderId="25" pivotButton="0" quotePrefix="0" xfId="0"/>
    <xf numFmtId="168" fontId="1" fillId="3" borderId="24" applyAlignment="1" pivotButton="0" quotePrefix="0" xfId="0">
      <alignment horizontal="center" vertical="center"/>
    </xf>
    <xf numFmtId="168" fontId="1" fillId="0" borderId="24" applyAlignment="1" pivotButton="0" quotePrefix="0" xfId="0">
      <alignment horizontal="center" vertical="center"/>
    </xf>
    <xf numFmtId="0" fontId="1" fillId="2" borderId="26" applyAlignment="1" pivotButton="0" quotePrefix="0" xfId="0">
      <alignment horizontal="center" vertical="center" wrapText="1"/>
    </xf>
    <xf numFmtId="0" fontId="1" fillId="2" borderId="27" applyAlignment="1" pivotButton="0" quotePrefix="0" xfId="0">
      <alignment horizontal="center" vertical="center" wrapText="1"/>
    </xf>
    <xf numFmtId="0" fontId="1" fillId="2" borderId="27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5" fillId="0" borderId="26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/>
    </xf>
    <xf numFmtId="165" fontId="1" fillId="0" borderId="27" applyAlignment="1" pivotButton="0" quotePrefix="0" xfId="0">
      <alignment vertical="center"/>
    </xf>
    <xf numFmtId="0" fontId="0" fillId="0" borderId="36" pivotButton="0" quotePrefix="0" xfId="0"/>
    <xf numFmtId="165" fontId="1" fillId="0" borderId="27" applyAlignment="1" pivotButton="0" quotePrefix="0" xfId="0">
      <alignment horizontal="center" vertical="center"/>
    </xf>
    <xf numFmtId="165" fontId="1" fillId="0" borderId="27" applyAlignment="1" pivotButton="0" quotePrefix="0" xfId="0">
      <alignment vertical="center" wrapText="1"/>
    </xf>
    <xf numFmtId="0" fontId="5" fillId="0" borderId="37" applyAlignment="1" pivotButton="0" quotePrefix="0" xfId="0">
      <alignment horizontal="center" vertical="center" wrapText="1"/>
    </xf>
    <xf numFmtId="0" fontId="1" fillId="0" borderId="38" applyAlignment="1" pivotButton="0" quotePrefix="0" xfId="0">
      <alignment horizontal="center" vertical="center"/>
    </xf>
    <xf numFmtId="165" fontId="1" fillId="0" borderId="38" applyAlignment="1" pivotButton="0" quotePrefix="0" xfId="0">
      <alignment vertical="center"/>
    </xf>
    <xf numFmtId="0" fontId="0" fillId="0" borderId="39" pivotButton="0" quotePrefix="0" xfId="0"/>
    <xf numFmtId="0" fontId="0" fillId="0" borderId="40" pivotButton="0" quotePrefix="0" xfId="0"/>
    <xf numFmtId="165" fontId="1" fillId="0" borderId="3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Q35"/>
  <sheetViews>
    <sheetView workbookViewId="0">
      <selection activeCell="A1" sqref="A1"/>
    </sheetView>
  </sheetViews>
  <sheetFormatPr baseColWidth="8" defaultRowHeight="15"/>
  <cols>
    <col width="3.59765625" customWidth="1" min="1" max="1"/>
    <col width="8.59765625" customWidth="1" min="2" max="2"/>
    <col width="23.33203125" customWidth="1" min="3" max="3"/>
    <col width="34.6640625" customWidth="1" min="4" max="4"/>
    <col width="16.46484375" customWidth="1" min="5" max="5"/>
    <col width="5.1328125" customWidth="1" min="6" max="6"/>
    <col width="2.86328125" customWidth="1" min="8" max="8"/>
    <col width="3.06640625" customWidth="1" min="11" max="11"/>
    <col width="3.59765625" customWidth="1" min="17" max="17"/>
  </cols>
  <sheetData>
    <row r="1" ht="18" customHeight="1">
      <c r="FQ1" s="1" t="inlineStr">
        <is>
          <t>y</t>
        </is>
      </c>
    </row>
    <row r="2" ht="20.1" customHeight="1">
      <c r="B2" s="2" t="inlineStr">
        <is>
          <t>내부심사 체크리스트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4" t="inlineStr">
        <is>
          <t>작  성</t>
        </is>
      </c>
      <c r="L2" s="5" t="n"/>
      <c r="M2" s="6" t="n"/>
      <c r="N2" s="7" t="inlineStr">
        <is>
          <t>승  인</t>
        </is>
      </c>
      <c r="O2" s="5" t="n"/>
      <c r="P2" s="6" t="n"/>
    </row>
    <row r="3" ht="24" customHeight="1">
      <c r="B3" s="8" t="n"/>
      <c r="K3" s="9">
        <f>IF(ISNUMBER(SEARCH("연구개발전담부서", $D$6)), "연형모", IF(ISNUMBER(SEARCH("경영지원", $D$6)), "이창우", IF(ISNUMBER(SEARCH("기술엔지니어링", $D$6)), "김세윤", "")))</f>
        <v/>
      </c>
      <c r="L3" s="10" t="n"/>
      <c r="M3" s="11" t="n"/>
      <c r="N3" s="12" t="n"/>
      <c r="O3" s="10" t="n"/>
      <c r="P3" s="11" t="n"/>
    </row>
    <row r="4" ht="24" customHeight="1">
      <c r="B4" s="8" t="n"/>
      <c r="K4" s="13" t="n"/>
      <c r="L4" s="14" t="n"/>
      <c r="M4" s="15" t="n"/>
      <c r="N4" s="16" t="n"/>
      <c r="O4" s="14" t="n"/>
      <c r="P4" s="15" t="n"/>
    </row>
    <row r="5" ht="20.1" customHeight="1">
      <c r="B5" s="17" t="n"/>
      <c r="C5" s="18" t="n"/>
      <c r="D5" s="18" t="n"/>
      <c r="E5" s="18" t="n"/>
      <c r="F5" s="18" t="n"/>
      <c r="G5" s="18" t="n"/>
      <c r="H5" s="18" t="n"/>
      <c r="I5" s="18" t="n"/>
      <c r="J5" s="18" t="n"/>
      <c r="K5" s="19" t="n"/>
      <c r="L5" s="20" t="n"/>
      <c r="M5" s="21" t="n"/>
      <c r="N5" s="22" t="n"/>
      <c r="O5" s="20" t="n"/>
      <c r="P5" s="21" t="n"/>
    </row>
    <row r="6" ht="22.5" customHeight="1">
      <c r="B6" s="23" t="inlineStr">
        <is>
          <t>심사대상 부서</t>
        </is>
      </c>
      <c r="C6" s="24" t="n"/>
      <c r="D6" s="25" t="inlineStr">
        <is>
          <t>기술엔지니어링</t>
        </is>
      </c>
      <c r="E6" s="26" t="inlineStr">
        <is>
          <t>내부심사 시행일</t>
        </is>
      </c>
      <c r="F6" s="24" t="n"/>
      <c r="G6" s="27" t="n">
        <v>45677</v>
      </c>
      <c r="H6" s="28" t="n"/>
      <c r="I6" s="28" t="n"/>
      <c r="J6" s="28" t="n"/>
      <c r="K6" s="24" t="n"/>
      <c r="L6" s="29" t="inlineStr">
        <is>
          <t>심사관</t>
        </is>
      </c>
      <c r="M6" s="24" t="n"/>
      <c r="N6" s="30">
        <f>IF(ISNUMBER(SEARCH("연구개발전담부서", $D$6)), "연형모", IF(ISNUMBER(SEARCH("경영지원", $D$6)), "이창우", IF(ISNUMBER(SEARCH("기술엔지니어링", $D$6)), "김세윤", "")))</f>
        <v/>
      </c>
      <c r="O6" s="28" t="n"/>
      <c r="P6" s="24" t="n"/>
    </row>
    <row r="7" ht="20.25" customHeight="1">
      <c r="B7" s="31" t="inlineStr">
        <is>
          <t>심사내용
담당자</t>
        </is>
      </c>
      <c r="C7" s="32" t="inlineStr">
        <is>
          <t>심사내용</t>
        </is>
      </c>
      <c r="D7" s="33" t="inlineStr">
        <is>
          <t>심사 활용 수단, 서류</t>
        </is>
      </c>
      <c r="E7" s="32" t="inlineStr">
        <is>
          <t>심사관 확인
(날인/서명)</t>
        </is>
      </c>
      <c r="F7" s="33" t="inlineStr">
        <is>
          <t>심사통과여부</t>
        </is>
      </c>
      <c r="G7" s="34" t="n"/>
      <c r="H7" s="32" t="inlineStr">
        <is>
          <t>미통과 사유</t>
        </is>
      </c>
      <c r="I7" s="35" t="n"/>
      <c r="J7" s="35" t="n"/>
      <c r="K7" s="36" t="n"/>
      <c r="L7" s="33" t="inlineStr">
        <is>
          <t>조치사항</t>
        </is>
      </c>
      <c r="M7" s="35" t="n"/>
      <c r="N7" s="35" t="n"/>
      <c r="O7" s="35" t="n"/>
      <c r="P7" s="36" t="n"/>
      <c r="X7" s="37" t="n"/>
    </row>
    <row r="8" ht="20.25" customHeight="1">
      <c r="B8" s="38" t="n"/>
      <c r="C8" s="39" t="n"/>
      <c r="D8" s="39" t="n"/>
      <c r="E8" s="39" t="n"/>
      <c r="F8" s="33" t="inlineStr">
        <is>
          <t>Y</t>
        </is>
      </c>
      <c r="G8" s="33" t="inlineStr">
        <is>
          <t>N</t>
        </is>
      </c>
      <c r="H8" s="40" t="n"/>
      <c r="I8" s="41" t="n"/>
      <c r="J8" s="41" t="n"/>
      <c r="K8" s="42" t="n"/>
      <c r="L8" s="40" t="n"/>
      <c r="M8" s="41" t="n"/>
      <c r="N8" s="41" t="n"/>
      <c r="O8" s="41" t="n"/>
      <c r="P8" s="42" t="n"/>
      <c r="X8" s="37" t="n"/>
    </row>
    <row r="9" ht="30" customHeight="1">
      <c r="B9" s="43">
        <f>IF(ISNUMBER(SEARCH("연구개발전담부서", $D$6)), "이창우", IF(ISNUMBER(SEARCH("경영지원", $D$6)), "김세윤", IF(ISNUMBER(SEARCH("기술엔지니어링", $D$6)), "연재운", "")))</f>
        <v/>
      </c>
      <c r="C9" s="44" t="n"/>
      <c r="D9" s="45" t="n"/>
      <c r="E9" s="45" t="n"/>
      <c r="F9" s="44" t="n"/>
      <c r="G9" s="44" t="n"/>
      <c r="H9" s="44">
        <f>IF(G9="○", "작성미흡", "")</f>
        <v/>
      </c>
      <c r="I9" s="46" t="n"/>
      <c r="J9" s="46" t="n"/>
      <c r="K9" s="34" t="n"/>
      <c r="L9" s="44">
        <f>IF(G9="○", "경고", "")</f>
        <v/>
      </c>
      <c r="M9" s="46" t="n"/>
      <c r="N9" s="46" t="n"/>
      <c r="O9" s="46" t="n"/>
      <c r="P9" s="34" t="n"/>
      <c r="X9" s="37" t="n"/>
    </row>
    <row r="10" ht="30" customHeight="1">
      <c r="B10" s="43">
        <f>IF(ISNUMBER(SEARCH("연구개발전담부서", $D$6)), "이창우", IF(ISNUMBER(SEARCH("경영지원", $D$6)), "김세윤", IF(ISNUMBER(SEARCH("기술엔지니어링", $D$6)), "연재운", "")))</f>
        <v/>
      </c>
      <c r="C10" s="44" t="n"/>
      <c r="D10" s="45" t="n"/>
      <c r="E10" s="45" t="n"/>
      <c r="F10" s="44" t="n"/>
      <c r="G10" s="44" t="n"/>
      <c r="H10" s="44">
        <f>IF(G10="○", "작성미흡", "")</f>
        <v/>
      </c>
      <c r="I10" s="46" t="n"/>
      <c r="J10" s="46" t="n"/>
      <c r="K10" s="34" t="n"/>
      <c r="L10" s="47">
        <f>IF(G10="○", "경고", "")</f>
        <v/>
      </c>
      <c r="M10" s="46" t="n"/>
      <c r="N10" s="46" t="n"/>
      <c r="O10" s="46" t="n"/>
      <c r="P10" s="34" t="n"/>
    </row>
    <row r="11" ht="30" customHeight="1">
      <c r="B11" s="43">
        <f>IF(ISNUMBER(SEARCH("연구개발전담부서", $D$6)), "이창우", IF(ISNUMBER(SEARCH("경영지원", $D$6)), "김세윤", IF(ISNUMBER(SEARCH("기술엔지니어링", $D$6)), "연재운", "")))</f>
        <v/>
      </c>
      <c r="C11" s="44" t="n"/>
      <c r="D11" s="45" t="n"/>
      <c r="E11" s="45" t="n"/>
      <c r="F11" s="44" t="n"/>
      <c r="G11" s="44" t="n"/>
      <c r="H11" s="44">
        <f>IF(G11="○", "작성미흡", "")</f>
        <v/>
      </c>
      <c r="I11" s="46" t="n"/>
      <c r="J11" s="46" t="n"/>
      <c r="K11" s="34" t="n"/>
      <c r="L11" s="47">
        <f>IF(G11="○", "경고", "")</f>
        <v/>
      </c>
      <c r="M11" s="46" t="n"/>
      <c r="N11" s="46" t="n"/>
      <c r="O11" s="46" t="n"/>
      <c r="P11" s="34" t="n"/>
    </row>
    <row r="12" ht="30" customHeight="1">
      <c r="B12" s="43">
        <f>IF(ISNUMBER(SEARCH("연구개발전담부서", $D$6)), "이창우", IF(ISNUMBER(SEARCH("경영지원", $D$6)), "김세윤", IF(ISNUMBER(SEARCH("기술엔지니어링", $D$6)), "연재운", "")))</f>
        <v/>
      </c>
      <c r="C12" s="44" t="n"/>
      <c r="D12" s="45" t="n"/>
      <c r="E12" s="45" t="n"/>
      <c r="F12" s="44" t="n"/>
      <c r="G12" s="44" t="n"/>
      <c r="H12" s="44">
        <f>IF(G12="○", "작성미흡", "")</f>
        <v/>
      </c>
      <c r="I12" s="46" t="n"/>
      <c r="J12" s="46" t="n"/>
      <c r="K12" s="34" t="n"/>
      <c r="L12" s="47">
        <f>IF(G12="○", "경고", "")</f>
        <v/>
      </c>
      <c r="M12" s="46" t="n"/>
      <c r="N12" s="46" t="n"/>
      <c r="O12" s="46" t="n"/>
      <c r="P12" s="34" t="n"/>
    </row>
    <row r="13" ht="30" customHeight="1">
      <c r="B13" s="43">
        <f>IF(ISNUMBER(SEARCH("연구개발전담부서", $D$6)), "이창우", IF(ISNUMBER(SEARCH("경영지원", $D$6)), "김세윤", IF(ISNUMBER(SEARCH("기술엔지니어링", $D$6)), "연재운", "")))</f>
        <v/>
      </c>
      <c r="C13" s="44" t="n"/>
      <c r="D13" s="45" t="n"/>
      <c r="E13" s="45" t="n"/>
      <c r="F13" s="44" t="n"/>
      <c r="G13" s="44" t="n"/>
      <c r="H13" s="44">
        <f>IF(G13="○", "작성미흡", "")</f>
        <v/>
      </c>
      <c r="I13" s="46" t="n"/>
      <c r="J13" s="46" t="n"/>
      <c r="K13" s="34" t="n"/>
      <c r="L13" s="47">
        <f>IF(G13="○", "경고", "")</f>
        <v/>
      </c>
      <c r="M13" s="46" t="n"/>
      <c r="N13" s="46" t="n"/>
      <c r="O13" s="46" t="n"/>
      <c r="P13" s="34" t="n"/>
    </row>
    <row r="14" ht="30" customHeight="1">
      <c r="B14" s="43">
        <f>IF(ISNUMBER(SEARCH("연구개발전담부서", $D$6)), "이창우", IF(ISNUMBER(SEARCH("경영지원", $D$6)), "김세윤", IF(ISNUMBER(SEARCH("기술엔지니어링", $D$6)), "연재운", "")))</f>
        <v/>
      </c>
      <c r="C14" s="44" t="n"/>
      <c r="D14" s="45" t="n"/>
      <c r="E14" s="45" t="n"/>
      <c r="F14" s="44" t="n"/>
      <c r="G14" s="44" t="n"/>
      <c r="H14" s="44">
        <f>IF(G14="○", "작성미흡", "")</f>
        <v/>
      </c>
      <c r="I14" s="46" t="n"/>
      <c r="J14" s="46" t="n"/>
      <c r="K14" s="34" t="n"/>
      <c r="L14" s="47">
        <f>IF(G14="○", "경고", "")</f>
        <v/>
      </c>
      <c r="M14" s="46" t="n"/>
      <c r="N14" s="46" t="n"/>
      <c r="O14" s="46" t="n"/>
      <c r="P14" s="34" t="n"/>
    </row>
    <row r="15" ht="30" customHeight="1">
      <c r="B15" s="43">
        <f>IF(ISNUMBER(SEARCH("연구개발전담부서", $D$6)), "이창우", IF(ISNUMBER(SEARCH("경영지원", $D$6)), "김세윤", IF(ISNUMBER(SEARCH("기술엔지니어링", $D$6)), "연재운", "")))</f>
        <v/>
      </c>
      <c r="C15" s="44" t="n"/>
      <c r="D15" s="45" t="n"/>
      <c r="E15" s="45" t="n"/>
      <c r="F15" s="44" t="n"/>
      <c r="G15" s="44" t="n"/>
      <c r="H15" s="44">
        <f>IF(G15="○", "작성미흡", "")</f>
        <v/>
      </c>
      <c r="I15" s="46" t="n"/>
      <c r="J15" s="46" t="n"/>
      <c r="K15" s="34" t="n"/>
      <c r="L15" s="47">
        <f>IF(G15="○", "경고", "")</f>
        <v/>
      </c>
      <c r="M15" s="46" t="n"/>
      <c r="N15" s="46" t="n"/>
      <c r="O15" s="46" t="n"/>
      <c r="P15" s="34" t="n"/>
    </row>
    <row r="16" ht="30" customHeight="1">
      <c r="B16" s="43">
        <f>IF(ISNUMBER(SEARCH("연구개발전담부서", $D$6)), "이창우", IF(ISNUMBER(SEARCH("경영지원", $D$6)), "김세윤", IF(ISNUMBER(SEARCH("기술엔지니어링", $D$6)), "연재운", "")))</f>
        <v/>
      </c>
      <c r="C16" s="44" t="n"/>
      <c r="D16" s="45" t="n"/>
      <c r="E16" s="45" t="n"/>
      <c r="F16" s="44" t="n"/>
      <c r="G16" s="44" t="n"/>
      <c r="H16" s="44">
        <f>IF(G16="○", "작성미흡", "")</f>
        <v/>
      </c>
      <c r="I16" s="46" t="n"/>
      <c r="J16" s="46" t="n"/>
      <c r="K16" s="34" t="n"/>
      <c r="L16" s="47">
        <f>IF(G16="○", "경고", "")</f>
        <v/>
      </c>
      <c r="M16" s="46" t="n"/>
      <c r="N16" s="46" t="n"/>
      <c r="O16" s="46" t="n"/>
      <c r="P16" s="34" t="n"/>
    </row>
    <row r="17" ht="30" customHeight="1">
      <c r="B17" s="43">
        <f>IF(ISNUMBER(SEARCH("연구개발전담부서", $D$6)), "이창우", IF(ISNUMBER(SEARCH("경영지원", $D$6)), "김세윤", IF(ISNUMBER(SEARCH("기술엔지니어링", $D$6)), "연재운", "")))</f>
        <v/>
      </c>
      <c r="C17" s="44" t="n"/>
      <c r="D17" s="45" t="n"/>
      <c r="E17" s="45" t="n"/>
      <c r="F17" s="44" t="n"/>
      <c r="G17" s="44" t="n"/>
      <c r="H17" s="44">
        <f>IF(G17="○", "작성미흡", "")</f>
        <v/>
      </c>
      <c r="I17" s="46" t="n"/>
      <c r="J17" s="46" t="n"/>
      <c r="K17" s="34" t="n"/>
      <c r="L17" s="47">
        <f>IF(G17="○", "경고", "")</f>
        <v/>
      </c>
      <c r="M17" s="46" t="n"/>
      <c r="N17" s="46" t="n"/>
      <c r="O17" s="46" t="n"/>
      <c r="P17" s="34" t="n"/>
    </row>
    <row r="18" ht="30" customHeight="1">
      <c r="B18" s="43">
        <f>IF(ISNUMBER(SEARCH("연구개발전담부서", $D$6)), "이창우", IF(ISNUMBER(SEARCH("경영지원", $D$6)), "김세윤", IF(ISNUMBER(SEARCH("기술엔지니어링", $D$6)), "연재운", "")))</f>
        <v/>
      </c>
      <c r="C18" s="44" t="n"/>
      <c r="D18" s="45" t="n"/>
      <c r="E18" s="45" t="n"/>
      <c r="F18" s="44" t="n"/>
      <c r="G18" s="44" t="n"/>
      <c r="H18" s="44">
        <f>IF(G18="○", "작성미흡", "")</f>
        <v/>
      </c>
      <c r="I18" s="46" t="n"/>
      <c r="J18" s="46" t="n"/>
      <c r="K18" s="34" t="n"/>
      <c r="L18" s="47">
        <f>IF(G18="○", "경고", "")</f>
        <v/>
      </c>
      <c r="M18" s="46" t="n"/>
      <c r="N18" s="46" t="n"/>
      <c r="O18" s="46" t="n"/>
      <c r="P18" s="34" t="n"/>
    </row>
    <row r="19" ht="30" customHeight="1">
      <c r="B19" s="43">
        <f>IF(ISNUMBER(SEARCH("연구개발전담부서", $D$6)), "이창우", IF(ISNUMBER(SEARCH("경영지원", $D$6)), "김세윤", IF(ISNUMBER(SEARCH("기술엔지니어링", $D$6)), "연재운", "")))</f>
        <v/>
      </c>
      <c r="C19" s="44" t="n"/>
      <c r="D19" s="45" t="n"/>
      <c r="E19" s="45" t="n"/>
      <c r="F19" s="44" t="n"/>
      <c r="G19" s="44" t="n"/>
      <c r="H19" s="44">
        <f>IF(G19="○", "작성미흡", "")</f>
        <v/>
      </c>
      <c r="I19" s="46" t="n"/>
      <c r="J19" s="46" t="n"/>
      <c r="K19" s="34" t="n"/>
      <c r="L19" s="47">
        <f>IF(G19="○", "경고", "")</f>
        <v/>
      </c>
      <c r="M19" s="46" t="n"/>
      <c r="N19" s="46" t="n"/>
      <c r="O19" s="46" t="n"/>
      <c r="P19" s="34" t="n"/>
    </row>
    <row r="20" ht="30" customHeight="1">
      <c r="B20" s="43">
        <f>IF(ISNUMBER(SEARCH("연구개발전담부서", $D$6)), "이창우", IF(ISNUMBER(SEARCH("경영지원", $D$6)), "김세윤", IF(ISNUMBER(SEARCH("기술엔지니어링", $D$6)), "연재운", "")))</f>
        <v/>
      </c>
      <c r="C20" s="44" t="n"/>
      <c r="D20" s="45" t="n"/>
      <c r="E20" s="45" t="n"/>
      <c r="F20" s="44" t="n"/>
      <c r="G20" s="44" t="n"/>
      <c r="H20" s="44">
        <f>IF(G20="○", "작성미흡", "")</f>
        <v/>
      </c>
      <c r="I20" s="46" t="n"/>
      <c r="J20" s="46" t="n"/>
      <c r="K20" s="34" t="n"/>
      <c r="L20" s="47">
        <f>IF(G20="○", "경고", "")</f>
        <v/>
      </c>
      <c r="M20" s="46" t="n"/>
      <c r="N20" s="46" t="n"/>
      <c r="O20" s="46" t="n"/>
      <c r="P20" s="34" t="n"/>
    </row>
    <row r="21" ht="30" customHeight="1">
      <c r="B21" s="43">
        <f>IF(ISNUMBER(SEARCH("연구개발전담부서", $D$6)), "이창우", IF(ISNUMBER(SEARCH("경영지원", $D$6)), "김세윤", IF(ISNUMBER(SEARCH("기술엔지니어링", $D$6)), "연재운", "")))</f>
        <v/>
      </c>
      <c r="C21" s="44" t="n"/>
      <c r="D21" s="45" t="n"/>
      <c r="E21" s="45" t="n"/>
      <c r="F21" s="44" t="n"/>
      <c r="G21" s="44" t="n"/>
      <c r="H21" s="44">
        <f>IF(G21="○", "작성미흡", "")</f>
        <v/>
      </c>
      <c r="I21" s="46" t="n"/>
      <c r="J21" s="46" t="n"/>
      <c r="K21" s="34" t="n"/>
      <c r="L21" s="47">
        <f>IF(G21="○", "경고", "")</f>
        <v/>
      </c>
      <c r="M21" s="46" t="n"/>
      <c r="N21" s="46" t="n"/>
      <c r="O21" s="46" t="n"/>
      <c r="P21" s="34" t="n"/>
    </row>
    <row r="22" ht="30" customHeight="1">
      <c r="B22" s="43">
        <f>IF(ISNUMBER(SEARCH("연구개발전담부서", $D$6)), "이창우", IF(ISNUMBER(SEARCH("경영지원", $D$6)), "김세윤", IF(ISNUMBER(SEARCH("기술엔지니어링", $D$6)), "연재운", "")))</f>
        <v/>
      </c>
      <c r="C22" s="44" t="n"/>
      <c r="D22" s="45" t="n"/>
      <c r="E22" s="45" t="n"/>
      <c r="F22" s="44" t="n"/>
      <c r="G22" s="44" t="n"/>
      <c r="H22" s="44">
        <f>IF(G22="○", "작성미흡", "")</f>
        <v/>
      </c>
      <c r="I22" s="46" t="n"/>
      <c r="J22" s="46" t="n"/>
      <c r="K22" s="34" t="n"/>
      <c r="L22" s="47">
        <f>IF(G22="○", "경고", "")</f>
        <v/>
      </c>
      <c r="M22" s="46" t="n"/>
      <c r="N22" s="46" t="n"/>
      <c r="O22" s="46" t="n"/>
      <c r="P22" s="34" t="n"/>
    </row>
    <row r="23" ht="30" customHeight="1">
      <c r="B23" s="43">
        <f>IF(ISNUMBER(SEARCH("연구개발전담부서", $D$6)), "이창우", IF(ISNUMBER(SEARCH("경영지원", $D$6)), "김세윤", IF(ISNUMBER(SEARCH("기술엔지니어링", $D$6)), "연재운", "")))</f>
        <v/>
      </c>
      <c r="C23" s="44" t="n"/>
      <c r="D23" s="48" t="n"/>
      <c r="E23" s="45" t="n"/>
      <c r="F23" s="44" t="n"/>
      <c r="G23" s="44" t="n"/>
      <c r="H23" s="44">
        <f>IF(G23="○", "작성미흡", "")</f>
        <v/>
      </c>
      <c r="I23" s="46" t="n"/>
      <c r="J23" s="46" t="n"/>
      <c r="K23" s="34" t="n"/>
      <c r="L23" s="47">
        <f>IF(G23="○", "경고", "")</f>
        <v/>
      </c>
      <c r="M23" s="46" t="n"/>
      <c r="N23" s="46" t="n"/>
      <c r="O23" s="46" t="n"/>
      <c r="P23" s="34" t="n"/>
    </row>
    <row r="24" ht="30" customHeight="1">
      <c r="B24" s="43">
        <f>IF(ISNUMBER(SEARCH("연구개발전담부서", $D$6)), "이창우", IF(ISNUMBER(SEARCH("경영지원", $D$6)), "김세윤", IF(ISNUMBER(SEARCH("기술엔지니어링", $D$6)), "연재운", "")))</f>
        <v/>
      </c>
      <c r="C24" s="44" t="n"/>
      <c r="D24" s="45" t="n"/>
      <c r="E24" s="45" t="n"/>
      <c r="F24" s="44" t="n"/>
      <c r="G24" s="44" t="n"/>
      <c r="H24" s="44">
        <f>IF(G24="○", "작성미흡", "")</f>
        <v/>
      </c>
      <c r="I24" s="46" t="n"/>
      <c r="J24" s="46" t="n"/>
      <c r="K24" s="34" t="n"/>
      <c r="L24" s="47">
        <f>IF(G24="○", "경고", "")</f>
        <v/>
      </c>
      <c r="M24" s="46" t="n"/>
      <c r="N24" s="46" t="n"/>
      <c r="O24" s="46" t="n"/>
      <c r="P24" s="34" t="n"/>
    </row>
    <row r="25" ht="30" customHeight="1">
      <c r="B25" s="43">
        <f>IF(ISNUMBER(SEARCH("연구개발전담부서", $D$6)), "이창우", IF(ISNUMBER(SEARCH("경영지원", $D$6)), "김세윤", IF(ISNUMBER(SEARCH("기술엔지니어링", $D$6)), "연재운", "")))</f>
        <v/>
      </c>
      <c r="C25" s="44" t="n"/>
      <c r="D25" s="45" t="n"/>
      <c r="E25" s="45" t="n"/>
      <c r="F25" s="44" t="n"/>
      <c r="G25" s="44" t="n"/>
      <c r="H25" s="44">
        <f>IF(G25="○", "작성미흡", "")</f>
        <v/>
      </c>
      <c r="I25" s="46" t="n"/>
      <c r="J25" s="46" t="n"/>
      <c r="K25" s="34" t="n"/>
      <c r="L25" s="47">
        <f>IF(G25="○", "경고", "")</f>
        <v/>
      </c>
      <c r="M25" s="46" t="n"/>
      <c r="N25" s="46" t="n"/>
      <c r="O25" s="46" t="n"/>
      <c r="P25" s="34" t="n"/>
    </row>
    <row r="26" ht="30" customHeight="1">
      <c r="B26" s="43">
        <f>IF(ISNUMBER(SEARCH("연구개발전담부서", $D$6)), "이창우", IF(ISNUMBER(SEARCH("경영지원", $D$6)), "김세윤", IF(ISNUMBER(SEARCH("기술엔지니어링", $D$6)), "연재운", "")))</f>
        <v/>
      </c>
      <c r="C26" s="44" t="n"/>
      <c r="D26" s="45" t="n"/>
      <c r="E26" s="45" t="n"/>
      <c r="F26" s="44" t="n"/>
      <c r="G26" s="44" t="n"/>
      <c r="H26" s="44">
        <f>IF(G26="○", "작성미흡", "")</f>
        <v/>
      </c>
      <c r="I26" s="46" t="n"/>
      <c r="J26" s="46" t="n"/>
      <c r="K26" s="34" t="n"/>
      <c r="L26" s="47">
        <f>IF(G26="○", "경고", "")</f>
        <v/>
      </c>
      <c r="M26" s="46" t="n"/>
      <c r="N26" s="46" t="n"/>
      <c r="O26" s="46" t="n"/>
      <c r="P26" s="34" t="n"/>
    </row>
    <row r="27" ht="30" customHeight="1">
      <c r="B27" s="43">
        <f>IF(ISNUMBER(SEARCH("연구개발전담부서", $D$6)), "이창우", IF(ISNUMBER(SEARCH("경영지원", $D$6)), "김세윤", IF(ISNUMBER(SEARCH("기술엔지니어링", $D$6)), "연재운", "")))</f>
        <v/>
      </c>
      <c r="C27" s="44" t="n"/>
      <c r="D27" s="45" t="n"/>
      <c r="E27" s="45" t="n"/>
      <c r="F27" s="44" t="n"/>
      <c r="G27" s="44" t="n"/>
      <c r="H27" s="44">
        <f>IF(G27="○", "작성미흡", "")</f>
        <v/>
      </c>
      <c r="I27" s="46" t="n"/>
      <c r="J27" s="46" t="n"/>
      <c r="K27" s="34" t="n"/>
      <c r="L27" s="47">
        <f>IF(G27="○", "경고", "")</f>
        <v/>
      </c>
      <c r="M27" s="46" t="n"/>
      <c r="N27" s="46" t="n"/>
      <c r="O27" s="46" t="n"/>
      <c r="P27" s="34" t="n"/>
    </row>
    <row r="28" ht="30" customHeight="1">
      <c r="B28" s="43">
        <f>IF(ISNUMBER(SEARCH("연구개발전담부서", $D$6)), "이창우", IF(ISNUMBER(SEARCH("경영지원", $D$6)), "김세윤", IF(ISNUMBER(SEARCH("기술엔지니어링", $D$6)), "연재운", "")))</f>
        <v/>
      </c>
      <c r="C28" s="44" t="n"/>
      <c r="D28" s="45" t="n"/>
      <c r="E28" s="45" t="n"/>
      <c r="F28" s="44" t="n"/>
      <c r="G28" s="44" t="n"/>
      <c r="H28" s="44">
        <f>IF(G28="○", "작성미흡", "")</f>
        <v/>
      </c>
      <c r="I28" s="46" t="n"/>
      <c r="J28" s="46" t="n"/>
      <c r="K28" s="34" t="n"/>
      <c r="L28" s="47">
        <f>IF(G28="○", "경고", "")</f>
        <v/>
      </c>
      <c r="M28" s="46" t="n"/>
      <c r="N28" s="46" t="n"/>
      <c r="O28" s="46" t="n"/>
      <c r="P28" s="34" t="n"/>
    </row>
    <row r="29" ht="30" customHeight="1">
      <c r="B29" s="43">
        <f>IF(ISNUMBER(SEARCH("연구개발전담부서", $D$6)), "이창우", IF(ISNUMBER(SEARCH("경영지원", $D$6)), "김세윤", IF(ISNUMBER(SEARCH("기술엔지니어링", $D$6)), "연재운", "")))</f>
        <v/>
      </c>
      <c r="C29" s="44" t="n"/>
      <c r="D29" s="45" t="n"/>
      <c r="E29" s="45" t="n"/>
      <c r="F29" s="44" t="n"/>
      <c r="G29" s="44" t="n"/>
      <c r="H29" s="44">
        <f>IF(G29="○", "작성미흡", "")</f>
        <v/>
      </c>
      <c r="I29" s="46" t="n"/>
      <c r="J29" s="46" t="n"/>
      <c r="K29" s="34" t="n"/>
      <c r="L29" s="47">
        <f>IF(G29="○", "경고", "")</f>
        <v/>
      </c>
      <c r="M29" s="46" t="n"/>
      <c r="N29" s="46" t="n"/>
      <c r="O29" s="46" t="n"/>
      <c r="P29" s="34" t="n"/>
    </row>
    <row r="30" ht="30" customHeight="1">
      <c r="B30" s="43">
        <f>IF(ISNUMBER(SEARCH("연구개발전담부서", $D$6)), "이창우", IF(ISNUMBER(SEARCH("경영지원", $D$6)), "김세윤", IF(ISNUMBER(SEARCH("기술엔지니어링", $D$6)), "연재운", "")))</f>
        <v/>
      </c>
      <c r="C30" s="44" t="n"/>
      <c r="D30" s="45" t="n"/>
      <c r="E30" s="45" t="n"/>
      <c r="F30" s="44" t="n"/>
      <c r="G30" s="44" t="n"/>
      <c r="H30" s="44">
        <f>IF(G30="○", "작성미흡", "")</f>
        <v/>
      </c>
      <c r="I30" s="46" t="n"/>
      <c r="J30" s="46" t="n"/>
      <c r="K30" s="34" t="n"/>
      <c r="L30" s="47">
        <f>IF(G30="○", "경고", "")</f>
        <v/>
      </c>
      <c r="M30" s="46" t="n"/>
      <c r="N30" s="46" t="n"/>
      <c r="O30" s="46" t="n"/>
      <c r="P30" s="34" t="n"/>
    </row>
    <row r="31" ht="30" customHeight="1">
      <c r="B31" s="43">
        <f>IF(ISNUMBER(SEARCH("연구개발전담부서", $D$6)), "이창우", IF(ISNUMBER(SEARCH("경영지원", $D$6)), "김세윤", IF(ISNUMBER(SEARCH("기술엔지니어링", $D$6)), "연재운", "")))</f>
        <v/>
      </c>
      <c r="C31" s="44" t="n"/>
      <c r="D31" s="45" t="n"/>
      <c r="E31" s="45" t="n"/>
      <c r="F31" s="44" t="n"/>
      <c r="G31" s="44" t="n"/>
      <c r="H31" s="44">
        <f>IF(G31="○", "작성미흡", "")</f>
        <v/>
      </c>
      <c r="I31" s="46" t="n"/>
      <c r="J31" s="46" t="n"/>
      <c r="K31" s="34" t="n"/>
      <c r="L31" s="47">
        <f>IF(G31="○", "경고", "")</f>
        <v/>
      </c>
      <c r="M31" s="46" t="n"/>
      <c r="N31" s="46" t="n"/>
      <c r="O31" s="46" t="n"/>
      <c r="P31" s="34" t="n"/>
    </row>
    <row r="32" ht="30" customHeight="1">
      <c r="B32" s="43">
        <f>IF(ISNUMBER(SEARCH("연구개발전담부서", $D$6)), "이창우", IF(ISNUMBER(SEARCH("경영지원", $D$6)), "김세윤", IF(ISNUMBER(SEARCH("기술엔지니어링", $D$6)), "연재운", "")))</f>
        <v/>
      </c>
      <c r="C32" s="44" t="n"/>
      <c r="D32" s="45" t="n"/>
      <c r="E32" s="45" t="n"/>
      <c r="F32" s="44" t="n"/>
      <c r="G32" s="44" t="n"/>
      <c r="H32" s="44">
        <f>IF(G32="○", "작성미흡", "")</f>
        <v/>
      </c>
      <c r="I32" s="46" t="n"/>
      <c r="J32" s="46" t="n"/>
      <c r="K32" s="34" t="n"/>
      <c r="L32" s="47">
        <f>IF(G32="○", "경고", "")</f>
        <v/>
      </c>
      <c r="M32" s="46" t="n"/>
      <c r="N32" s="46" t="n"/>
      <c r="O32" s="46" t="n"/>
      <c r="P32" s="34" t="n"/>
    </row>
    <row r="33" ht="30" customHeight="1">
      <c r="B33" s="43">
        <f>IF(ISNUMBER(SEARCH("연구개발전담부서", $D$6)), "이창우", IF(ISNUMBER(SEARCH("경영지원", $D$6)), "김세윤", IF(ISNUMBER(SEARCH("기술엔지니어링", $D$6)), "연재운", "")))</f>
        <v/>
      </c>
      <c r="C33" s="44" t="n"/>
      <c r="D33" s="45" t="n"/>
      <c r="E33" s="45" t="n"/>
      <c r="F33" s="44" t="n"/>
      <c r="G33" s="44" t="n"/>
      <c r="H33" s="44">
        <f>IF(G33="○", "작성미흡", "")</f>
        <v/>
      </c>
      <c r="I33" s="46" t="n"/>
      <c r="J33" s="46" t="n"/>
      <c r="K33" s="34" t="n"/>
      <c r="L33" s="47">
        <f>IF(G33="○", "경고", "")</f>
        <v/>
      </c>
      <c r="M33" s="46" t="n"/>
      <c r="N33" s="46" t="n"/>
      <c r="O33" s="46" t="n"/>
      <c r="P33" s="34" t="n"/>
    </row>
    <row r="34" ht="30" customHeight="1">
      <c r="B34" s="43">
        <f>IF(ISNUMBER(SEARCH("연구개발전담부서", $D$6)), "이창우", IF(ISNUMBER(SEARCH("경영지원", $D$6)), "김세윤", IF(ISNUMBER(SEARCH("기술엔지니어링", $D$6)), "연재운", "")))</f>
        <v/>
      </c>
      <c r="C34" s="44" t="n"/>
      <c r="D34" s="45" t="n"/>
      <c r="E34" s="45" t="n"/>
      <c r="F34" s="44" t="n"/>
      <c r="G34" s="44" t="n"/>
      <c r="H34" s="44">
        <f>IF(G34="○", "작성미흡", "")</f>
        <v/>
      </c>
      <c r="I34" s="46" t="n"/>
      <c r="J34" s="46" t="n"/>
      <c r="K34" s="34" t="n"/>
      <c r="L34" s="47">
        <f>IF(G34="○", "경고", "")</f>
        <v/>
      </c>
      <c r="M34" s="46" t="n"/>
      <c r="N34" s="46" t="n"/>
      <c r="O34" s="46" t="n"/>
      <c r="P34" s="34" t="n"/>
    </row>
    <row r="35" ht="30" customHeight="1">
      <c r="B35" s="49">
        <f>IF(ISNUMBER(SEARCH("연구개발전담부서", $D$6)), "이창우", IF(ISNUMBER(SEARCH("경영지원", $D$6)), "김세윤", IF(ISNUMBER(SEARCH("기술엔지니어링", $D$6)), "연재운", "")))</f>
        <v/>
      </c>
      <c r="C35" s="50" t="n"/>
      <c r="D35" s="51" t="n"/>
      <c r="E35" s="51" t="n"/>
      <c r="F35" s="50" t="n"/>
      <c r="G35" s="50" t="n"/>
      <c r="H35" s="50">
        <f>IF(G35="○", "작성미흡", "")</f>
        <v/>
      </c>
      <c r="I35" s="52" t="n"/>
      <c r="J35" s="52" t="n"/>
      <c r="K35" s="53" t="n"/>
      <c r="L35" s="54">
        <f>IF(G35="○", "경고", "")</f>
        <v/>
      </c>
      <c r="M35" s="52" t="n"/>
      <c r="N35" s="52" t="n"/>
      <c r="O35" s="52" t="n"/>
      <c r="P35" s="53" t="n"/>
    </row>
  </sheetData>
  <mergeCells count="73">
    <mergeCell ref="H28:K28"/>
    <mergeCell ref="H22:K22"/>
    <mergeCell ref="L17:P17"/>
    <mergeCell ref="N2:P2"/>
    <mergeCell ref="H13:K13"/>
    <mergeCell ref="H27:K27"/>
    <mergeCell ref="H12:K12"/>
    <mergeCell ref="L16:P16"/>
    <mergeCell ref="L32:P32"/>
    <mergeCell ref="N5:P5"/>
    <mergeCell ref="L28:P28"/>
    <mergeCell ref="H24:K24"/>
    <mergeCell ref="L19:P19"/>
    <mergeCell ref="L13:P13"/>
    <mergeCell ref="K3:M4"/>
    <mergeCell ref="H15:K15"/>
    <mergeCell ref="H33:K33"/>
    <mergeCell ref="F7:G7"/>
    <mergeCell ref="H23:K23"/>
    <mergeCell ref="H18:K18"/>
    <mergeCell ref="L12:P12"/>
    <mergeCell ref="H14:K14"/>
    <mergeCell ref="K2:M2"/>
    <mergeCell ref="H30:K30"/>
    <mergeCell ref="H26:K26"/>
    <mergeCell ref="L15:P15"/>
    <mergeCell ref="H35:K35"/>
    <mergeCell ref="L33:P33"/>
    <mergeCell ref="D7:D8"/>
    <mergeCell ref="L24:P24"/>
    <mergeCell ref="H20:K20"/>
    <mergeCell ref="L18:P18"/>
    <mergeCell ref="H29:K29"/>
    <mergeCell ref="L14:P14"/>
    <mergeCell ref="H7:K8"/>
    <mergeCell ref="G6:K6"/>
    <mergeCell ref="L23:P23"/>
    <mergeCell ref="L30:P30"/>
    <mergeCell ref="N6:P6"/>
    <mergeCell ref="H10:K10"/>
    <mergeCell ref="N3:P4"/>
    <mergeCell ref="L35:P35"/>
    <mergeCell ref="E6:F6"/>
    <mergeCell ref="L26:P26"/>
    <mergeCell ref="B2:J5"/>
    <mergeCell ref="H9:K9"/>
    <mergeCell ref="L29:P29"/>
    <mergeCell ref="H31:K31"/>
    <mergeCell ref="L20:P20"/>
    <mergeCell ref="L7:P8"/>
    <mergeCell ref="H25:K25"/>
    <mergeCell ref="L25:P25"/>
    <mergeCell ref="C7:C8"/>
    <mergeCell ref="L10:P10"/>
    <mergeCell ref="H34:K34"/>
    <mergeCell ref="E7:E8"/>
    <mergeCell ref="H21:K21"/>
    <mergeCell ref="L22:P22"/>
    <mergeCell ref="L31:P31"/>
    <mergeCell ref="L34:P34"/>
    <mergeCell ref="B6:C6"/>
    <mergeCell ref="L9:P9"/>
    <mergeCell ref="L6:M6"/>
    <mergeCell ref="L21:P21"/>
    <mergeCell ref="K5:M5"/>
    <mergeCell ref="H17:K17"/>
    <mergeCell ref="H11:K11"/>
    <mergeCell ref="B7:B8"/>
    <mergeCell ref="H16:K16"/>
    <mergeCell ref="H32:K32"/>
    <mergeCell ref="L11:P11"/>
    <mergeCell ref="L27:P27"/>
    <mergeCell ref="H19:K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2026-02-10T04:08:23Z</dcterms:created>
  <dcterms:modified xsi:type="dcterms:W3CDTF">2026-02-10T04:08:23Z</dcterms:modified>
</cp:coreProperties>
</file>